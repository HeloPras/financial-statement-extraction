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lpudasaini_middlebury_edu/Documents/1 Project/🗄️Work/⚡️Simple Energy/Simple Energy/Working/"/>
    </mc:Choice>
  </mc:AlternateContent>
  <xr:revisionPtr revIDLastSave="184" documentId="13_ncr:1_{28E9BDB4-B29A-493B-9151-D00AA378C3F4}" xr6:coauthVersionLast="47" xr6:coauthVersionMax="47" xr10:uidLastSave="{A4681050-8F40-D34E-B936-49376FDAB05A}"/>
  <bookViews>
    <workbookView xWindow="0" yWindow="800" windowWidth="27940" windowHeight="14500" activeTab="8" xr2:uid="{82C126A9-F92C-4FEC-9EB5-FD6F3A8C30FC}"/>
  </bookViews>
  <sheets>
    <sheet name="Weighted Value" sheetId="21" r:id="rId1"/>
    <sheet name="DCF Value" sheetId="19" r:id="rId2"/>
    <sheet name="Historical SOPL" sheetId="3" r:id="rId3"/>
    <sheet name="Historical SOFP" sheetId="1" r:id="rId4"/>
    <sheet name="Projections" sheetId="24" r:id="rId5"/>
    <sheet name="Projected FS" sheetId="25" r:id="rId6"/>
    <sheet name="OPEX &amp; CAPEX" sheetId="27" r:id="rId7"/>
    <sheet name="Queries" sheetId="23" r:id="rId8"/>
    <sheet name="Ratios" sheetId="2" r:id="rId9"/>
    <sheet name="Projects status summary" sheetId="22" r:id="rId10"/>
    <sheet name="Pure Energy Limited" sheetId="26" r:id="rId11"/>
  </sheets>
  <externalReferences>
    <externalReference r:id="rId12"/>
    <externalReference r:id="rId13"/>
  </externalReferences>
  <definedNames>
    <definedName name="_xlnm._FilterDatabase" localSheetId="9" hidden="1">'Projects status summary'!$B$26:$J$63</definedName>
    <definedName name="for">[1]SoFP!$B$42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  <c r="I28" i="25"/>
  <c r="H28" i="25"/>
  <c r="G28" i="25"/>
  <c r="F28" i="25"/>
  <c r="E28" i="25"/>
  <c r="D28" i="25"/>
  <c r="E29" i="25"/>
  <c r="F29" i="25"/>
  <c r="G29" i="25"/>
  <c r="H29" i="25"/>
  <c r="I29" i="25"/>
  <c r="D29" i="25"/>
  <c r="E27" i="25"/>
  <c r="F27" i="25"/>
  <c r="G27" i="25"/>
  <c r="H27" i="25"/>
  <c r="I27" i="25"/>
  <c r="D27" i="25"/>
  <c r="G25" i="25"/>
  <c r="E24" i="25"/>
  <c r="F25" i="25" s="1"/>
  <c r="F24" i="25"/>
  <c r="G24" i="25"/>
  <c r="H24" i="25"/>
  <c r="H25" i="25" s="1"/>
  <c r="I24" i="25"/>
  <c r="I25" i="25" s="1"/>
  <c r="D24" i="25"/>
  <c r="E25" i="25" s="1"/>
  <c r="I23" i="22"/>
  <c r="I15" i="22"/>
  <c r="I16" i="22"/>
  <c r="I17" i="22"/>
  <c r="I18" i="22"/>
  <c r="I14" i="22"/>
  <c r="I20" i="22"/>
  <c r="I21" i="22"/>
  <c r="I22" i="22"/>
  <c r="E24" i="22"/>
  <c r="F24" i="22"/>
  <c r="F63" i="22" s="1"/>
  <c r="I19" i="22"/>
  <c r="I4" i="22"/>
  <c r="I5" i="22"/>
  <c r="I6" i="22"/>
  <c r="I7" i="22"/>
  <c r="I8" i="22"/>
  <c r="I9" i="22"/>
  <c r="I10" i="22"/>
  <c r="I11" i="22"/>
  <c r="I12" i="22"/>
  <c r="I13" i="22"/>
  <c r="I3" i="22"/>
  <c r="C8" i="26"/>
  <c r="C10" i="26" s="1"/>
  <c r="C11" i="26" s="1"/>
  <c r="D8" i="26"/>
  <c r="D10" i="26" s="1"/>
  <c r="J15" i="3"/>
  <c r="I15" i="3"/>
  <c r="I13" i="3"/>
  <c r="J13" i="3"/>
  <c r="I7" i="3"/>
  <c r="I20" i="25"/>
  <c r="H20" i="25"/>
  <c r="H21" i="25" s="1"/>
  <c r="G20" i="25"/>
  <c r="G21" i="25" s="1"/>
  <c r="F20" i="25"/>
  <c r="F21" i="25" s="1"/>
  <c r="E20" i="25"/>
  <c r="E21" i="25" s="1"/>
  <c r="D20" i="25"/>
  <c r="D21" i="25" s="1"/>
  <c r="J12" i="25"/>
  <c r="I12" i="25"/>
  <c r="H12" i="25"/>
  <c r="G12" i="25"/>
  <c r="G22" i="25" s="1"/>
  <c r="F12" i="25"/>
  <c r="E12" i="25"/>
  <c r="D12" i="25"/>
  <c r="D22" i="25" s="1"/>
  <c r="I39" i="24"/>
  <c r="H39" i="24"/>
  <c r="G39" i="24"/>
  <c r="F39" i="24"/>
  <c r="E39" i="24"/>
  <c r="D39" i="24"/>
  <c r="E32" i="24"/>
  <c r="F32" i="24"/>
  <c r="G32" i="24"/>
  <c r="H32" i="24"/>
  <c r="I32" i="24"/>
  <c r="D32" i="24"/>
  <c r="E21" i="24"/>
  <c r="F21" i="24"/>
  <c r="G21" i="24"/>
  <c r="H21" i="24"/>
  <c r="I21" i="24"/>
  <c r="D21" i="24"/>
  <c r="G3" i="24"/>
  <c r="H3" i="24" s="1"/>
  <c r="I3" i="24" s="1"/>
  <c r="E63" i="22"/>
  <c r="D24" i="2"/>
  <c r="E24" i="2"/>
  <c r="F24" i="2"/>
  <c r="C24" i="2"/>
  <c r="D21" i="2"/>
  <c r="D22" i="2" s="1"/>
  <c r="E21" i="2"/>
  <c r="E22" i="2" s="1"/>
  <c r="F21" i="2"/>
  <c r="F22" i="2" s="1"/>
  <c r="C21" i="2"/>
  <c r="E13" i="1"/>
  <c r="F13" i="1"/>
  <c r="E36" i="1"/>
  <c r="F36" i="1"/>
  <c r="F30" i="2" s="1"/>
  <c r="B2" i="3"/>
  <c r="B2" i="2" s="1"/>
  <c r="E9" i="3"/>
  <c r="E14" i="3" s="1"/>
  <c r="E17" i="3" s="1"/>
  <c r="E20" i="3" s="1"/>
  <c r="E26" i="2" s="1"/>
  <c r="F9" i="3"/>
  <c r="F14" i="3" s="1"/>
  <c r="F17" i="3" s="1"/>
  <c r="F20" i="3" s="1"/>
  <c r="C9" i="3"/>
  <c r="D20" i="1"/>
  <c r="C20" i="1"/>
  <c r="D13" i="1"/>
  <c r="C13" i="1"/>
  <c r="D36" i="1"/>
  <c r="D30" i="2" s="1"/>
  <c r="C36" i="1"/>
  <c r="C30" i="2" s="1"/>
  <c r="C31" i="2" l="1"/>
  <c r="D31" i="2"/>
  <c r="F31" i="2"/>
  <c r="E28" i="2"/>
  <c r="E7" i="2"/>
  <c r="E22" i="25"/>
  <c r="F22" i="25"/>
  <c r="H22" i="25"/>
  <c r="I22" i="25"/>
  <c r="I21" i="25"/>
  <c r="I24" i="22"/>
  <c r="D15" i="26"/>
  <c r="D16" i="26" s="1"/>
  <c r="D11" i="26"/>
  <c r="C15" i="26"/>
  <c r="F26" i="2"/>
  <c r="F28" i="2" s="1"/>
  <c r="F9" i="2"/>
  <c r="F11" i="2"/>
  <c r="F8" i="2"/>
  <c r="E8" i="2"/>
  <c r="E9" i="2"/>
  <c r="E11" i="2"/>
  <c r="F7" i="2"/>
  <c r="E30" i="2"/>
  <c r="E31" i="2" s="1"/>
  <c r="C14" i="3"/>
  <c r="C17" i="3" s="1"/>
  <c r="C20" i="3" s="1"/>
  <c r="C14" i="19"/>
  <c r="D14" i="19" s="1"/>
  <c r="E14" i="19" s="1"/>
  <c r="F14" i="19" s="1"/>
  <c r="G14" i="19" s="1"/>
  <c r="D18" i="26" l="1"/>
  <c r="D21" i="26"/>
  <c r="D19" i="26"/>
  <c r="C16" i="26"/>
  <c r="C18" i="26"/>
  <c r="C26" i="2"/>
  <c r="C11" i="2"/>
  <c r="C33" i="19"/>
  <c r="E9" i="19"/>
  <c r="D9" i="19"/>
  <c r="C9" i="19"/>
  <c r="B2" i="19"/>
  <c r="B2" i="21" s="1"/>
  <c r="C15" i="19"/>
  <c r="D13" i="19"/>
  <c r="E13" i="19" s="1"/>
  <c r="G5" i="19"/>
  <c r="F5" i="19"/>
  <c r="E5" i="19"/>
  <c r="D5" i="19"/>
  <c r="C5" i="19"/>
  <c r="D25" i="26" l="1"/>
  <c r="D26" i="26" s="1"/>
  <c r="D22" i="26"/>
  <c r="C19" i="26"/>
  <c r="C21" i="26"/>
  <c r="F9" i="19"/>
  <c r="G9" i="19"/>
  <c r="D15" i="19"/>
  <c r="F13" i="19"/>
  <c r="E15" i="19"/>
  <c r="C22" i="26" l="1"/>
  <c r="C25" i="26"/>
  <c r="C26" i="26" s="1"/>
  <c r="G13" i="19"/>
  <c r="F15" i="19"/>
  <c r="G15" i="19" l="1"/>
  <c r="G7" i="19" l="1"/>
  <c r="F7" i="19"/>
  <c r="E7" i="19"/>
  <c r="D7" i="19"/>
  <c r="C7" i="19"/>
  <c r="G8" i="19"/>
  <c r="F8" i="19"/>
  <c r="E8" i="19"/>
  <c r="D8" i="19"/>
  <c r="C8" i="19"/>
  <c r="C39" i="19"/>
  <c r="C32" i="19" l="1"/>
  <c r="C34" i="19" s="1"/>
  <c r="C7" i="21"/>
  <c r="E7" i="21" s="1"/>
  <c r="C6" i="19" l="1"/>
  <c r="D6" i="19" l="1"/>
  <c r="E6" i="19" l="1"/>
  <c r="F25" i="1"/>
  <c r="D30" i="1"/>
  <c r="E30" i="1"/>
  <c r="F30" i="1"/>
  <c r="C30" i="1"/>
  <c r="D25" i="1"/>
  <c r="E25" i="1"/>
  <c r="C25" i="1"/>
  <c r="E20" i="1"/>
  <c r="F20" i="1"/>
  <c r="F15" i="2" l="1"/>
  <c r="F14" i="2"/>
  <c r="C14" i="2"/>
  <c r="C15" i="2"/>
  <c r="D14" i="2"/>
  <c r="D15" i="2"/>
  <c r="E15" i="2"/>
  <c r="E14" i="2"/>
  <c r="C10" i="19"/>
  <c r="F6" i="19"/>
  <c r="C38" i="1"/>
  <c r="F38" i="1"/>
  <c r="E38" i="1"/>
  <c r="D38" i="1"/>
  <c r="D40" i="1" s="1"/>
  <c r="E21" i="1"/>
  <c r="E10" i="2" s="1"/>
  <c r="C21" i="1"/>
  <c r="C10" i="2" s="1"/>
  <c r="F21" i="1"/>
  <c r="D21" i="1"/>
  <c r="D9" i="3"/>
  <c r="D7" i="2" s="1"/>
  <c r="E40" i="1" l="1"/>
  <c r="F40" i="1"/>
  <c r="F10" i="2"/>
  <c r="C40" i="1"/>
  <c r="D14" i="3"/>
  <c r="C11" i="19"/>
  <c r="C16" i="19" s="1"/>
  <c r="D10" i="19"/>
  <c r="D11" i="19" s="1"/>
  <c r="D16" i="19" s="1"/>
  <c r="G6" i="19"/>
  <c r="D17" i="3" l="1"/>
  <c r="D20" i="3" s="1"/>
  <c r="D8" i="2"/>
  <c r="E10" i="19"/>
  <c r="E11" i="19" s="1"/>
  <c r="E16" i="19" s="1"/>
  <c r="F33" i="2"/>
  <c r="F5" i="2"/>
  <c r="E5" i="2"/>
  <c r="D10" i="2" l="1"/>
  <c r="D9" i="2"/>
  <c r="D11" i="2"/>
  <c r="D26" i="2"/>
  <c r="C6" i="21"/>
  <c r="E6" i="21" s="1"/>
  <c r="F10" i="19"/>
  <c r="F11" i="19" s="1"/>
  <c r="F16" i="19" s="1"/>
  <c r="G10" i="19" l="1"/>
  <c r="G11" i="19" s="1"/>
  <c r="G16" i="19" s="1"/>
  <c r="C21" i="19" l="1"/>
  <c r="C25" i="19" s="1"/>
  <c r="C27" i="19" s="1"/>
  <c r="C28" i="19"/>
  <c r="C29" i="19" l="1"/>
  <c r="C36" i="19" s="1"/>
  <c r="C38" i="19" s="1"/>
  <c r="C40" i="19" s="1"/>
  <c r="C5" i="21" l="1"/>
  <c r="E5" i="21" s="1"/>
  <c r="E8" i="21" s="1"/>
</calcChain>
</file>

<file path=xl/sharedStrings.xml><?xml version="1.0" encoding="utf-8"?>
<sst xmlns="http://schemas.openxmlformats.org/spreadsheetml/2006/main" count="579" uniqueCount="327">
  <si>
    <t>Statement of Financial Position</t>
  </si>
  <si>
    <t>Particulars</t>
  </si>
  <si>
    <t>Audited</t>
  </si>
  <si>
    <t>Provision</t>
  </si>
  <si>
    <t>FY 2080/81</t>
  </si>
  <si>
    <t>FY 2081/82</t>
  </si>
  <si>
    <t>CAPITAL AND LIABILITIES</t>
  </si>
  <si>
    <t xml:space="preserve">       Share   Capital A/c</t>
  </si>
  <si>
    <t>Total</t>
  </si>
  <si>
    <t>Financial Ratio Analysis</t>
  </si>
  <si>
    <t>Ratios</t>
  </si>
  <si>
    <t>Profitability Ratios</t>
  </si>
  <si>
    <t xml:space="preserve">Gross Profit Margin </t>
  </si>
  <si>
    <t>EBITDA Margin</t>
  </si>
  <si>
    <t xml:space="preserve">Net Profit Margin </t>
  </si>
  <si>
    <t xml:space="preserve">Return on Assets (ROA) </t>
  </si>
  <si>
    <t>Return on Equity (ROE)</t>
  </si>
  <si>
    <t>Liquidity Ratios</t>
  </si>
  <si>
    <t>Current Ratio</t>
  </si>
  <si>
    <t xml:space="preserve">Quick Ratio (Acid-Test Ratio) </t>
  </si>
  <si>
    <t>Efficiency Ratios</t>
  </si>
  <si>
    <t xml:space="preserve">Inventory Turnover </t>
  </si>
  <si>
    <t>Inventory Holding Period (Days)</t>
  </si>
  <si>
    <t>Receivables Turnover</t>
  </si>
  <si>
    <t>Receivable collection period (days)</t>
  </si>
  <si>
    <t>Number of shares</t>
  </si>
  <si>
    <t>Profit after Tax</t>
  </si>
  <si>
    <t>Earning Per share</t>
  </si>
  <si>
    <t>Net Assets Value (NAV)</t>
  </si>
  <si>
    <t>NAV per share</t>
  </si>
  <si>
    <t>Gross Sales/Revenue/Income</t>
  </si>
  <si>
    <t>Gross Profit/(Loss) from Trading</t>
  </si>
  <si>
    <t>Other Income</t>
  </si>
  <si>
    <t>Administration Expenditure</t>
  </si>
  <si>
    <t>Interest</t>
  </si>
  <si>
    <t>Depreciation</t>
  </si>
  <si>
    <t>Net Profit before  Tax</t>
  </si>
  <si>
    <t>Income Tax</t>
  </si>
  <si>
    <t>Defered Tax (Income)/Expenses</t>
  </si>
  <si>
    <t>Net Profit After  Tax</t>
  </si>
  <si>
    <t>Ask Price</t>
  </si>
  <si>
    <t>Multiple</t>
  </si>
  <si>
    <t>FY 2079/80</t>
  </si>
  <si>
    <t>FY 2078/79</t>
  </si>
  <si>
    <t>Earnings Before Interest Deprecviation &amp; Tax (EBITDA)</t>
  </si>
  <si>
    <t>Provisional</t>
  </si>
  <si>
    <t>Statement of Profit &amp; Loss</t>
  </si>
  <si>
    <t>Intangible Assets</t>
  </si>
  <si>
    <t>Non Current Assets</t>
  </si>
  <si>
    <t>Other Assets</t>
  </si>
  <si>
    <t>Current Tax Assets</t>
  </si>
  <si>
    <t>Total  Current Assets</t>
  </si>
  <si>
    <t>Total Assets</t>
  </si>
  <si>
    <t>Retained Earnings</t>
  </si>
  <si>
    <t>Reserves</t>
  </si>
  <si>
    <t>Total Equity</t>
  </si>
  <si>
    <t>Total Non Current Assets</t>
  </si>
  <si>
    <t>Inventory</t>
  </si>
  <si>
    <t>Sundry Debtors</t>
  </si>
  <si>
    <t xml:space="preserve">Cash &amp; Bank  Balances </t>
  </si>
  <si>
    <t>Non Current Liabilities</t>
  </si>
  <si>
    <t>Financial Liabilities</t>
  </si>
  <si>
    <t>Current Liabilities</t>
  </si>
  <si>
    <t>Trade Payables</t>
  </si>
  <si>
    <t>Provisions</t>
  </si>
  <si>
    <t>Current Tax Liabilities</t>
  </si>
  <si>
    <t>Total Current Liabilities</t>
  </si>
  <si>
    <t>Total Equity + Liabilities</t>
  </si>
  <si>
    <t>Share Application</t>
  </si>
  <si>
    <t>Book Value</t>
  </si>
  <si>
    <t>Discount Rate</t>
  </si>
  <si>
    <t>Deferred Tax Assets</t>
  </si>
  <si>
    <t>DCF Valuation</t>
  </si>
  <si>
    <t>Net Profit</t>
  </si>
  <si>
    <t>CapEX (𝚫)</t>
  </si>
  <si>
    <t>Working Capital changes</t>
  </si>
  <si>
    <t>Free Cash Flow to Company</t>
  </si>
  <si>
    <t>Year Factor</t>
  </si>
  <si>
    <t>PVF</t>
  </si>
  <si>
    <t>Present Values based on WACC</t>
  </si>
  <si>
    <t xml:space="preserve">Enterprise Values - Perpetuity Growth Method </t>
  </si>
  <si>
    <t>Free Cash Flow at terminal year of projection</t>
  </si>
  <si>
    <t xml:space="preserve">WACC </t>
  </si>
  <si>
    <t xml:space="preserve">Perpetuity Growth Rate </t>
  </si>
  <si>
    <t>Perpetuity Value at End of Year 10</t>
  </si>
  <si>
    <t>Present Value of Perpetuity</t>
  </si>
  <si>
    <t xml:space="preserve">(+) Present Value of Free Cash Flows </t>
  </si>
  <si>
    <t xml:space="preserve">Enterprise Value </t>
  </si>
  <si>
    <t>(+) Short Term Debt</t>
  </si>
  <si>
    <t>(+) Long Term Debt</t>
  </si>
  <si>
    <t>(-) Cash &amp; Marketable Securities  (in millions)</t>
  </si>
  <si>
    <t>(-) Net Debt</t>
  </si>
  <si>
    <t xml:space="preserve">(-) Preferred and Minority Interest </t>
  </si>
  <si>
    <t xml:space="preserve">(=) Equity Value </t>
  </si>
  <si>
    <t>Less: Additional Investment</t>
  </si>
  <si>
    <t>Pre-Money Valuation</t>
  </si>
  <si>
    <t>No of shares pre-money</t>
  </si>
  <si>
    <t>Estimated Value per Share Pre-money</t>
  </si>
  <si>
    <t>Interest tax savings [@18% tax rate]</t>
  </si>
  <si>
    <t>Value</t>
  </si>
  <si>
    <t>Weight</t>
  </si>
  <si>
    <t>Weighted Value</t>
  </si>
  <si>
    <t>DCF Value</t>
  </si>
  <si>
    <t>Market Value</t>
  </si>
  <si>
    <t>Capital WIP</t>
  </si>
  <si>
    <t>PPE</t>
  </si>
  <si>
    <t>Projct Assets</t>
  </si>
  <si>
    <t>Less: Accumulated Depreciation</t>
  </si>
  <si>
    <t>Investment</t>
  </si>
  <si>
    <t>Simple Energy Private Limited</t>
  </si>
  <si>
    <t>Cost of system sales</t>
  </si>
  <si>
    <t>Operation Cost</t>
  </si>
  <si>
    <t>Employee Benefits</t>
  </si>
  <si>
    <t>SN</t>
  </si>
  <si>
    <t>Sub-Project</t>
  </si>
  <si>
    <t>City</t>
  </si>
  <si>
    <t>Capacity (kW)</t>
  </si>
  <si>
    <t>Capacity (kWp)</t>
  </si>
  <si>
    <t>Model</t>
  </si>
  <si>
    <t>Status</t>
  </si>
  <si>
    <t>Jagadamba Spinning Mills - JSM</t>
  </si>
  <si>
    <t>Bhairahawa</t>
  </si>
  <si>
    <t>OPEX</t>
  </si>
  <si>
    <t>Operation</t>
  </si>
  <si>
    <t>Raj Brewery</t>
  </si>
  <si>
    <t>Parasi</t>
  </si>
  <si>
    <t>MM Plastics</t>
  </si>
  <si>
    <t>Biratnagar</t>
  </si>
  <si>
    <t>MM Polymer</t>
  </si>
  <si>
    <t>Hetauda</t>
  </si>
  <si>
    <t>Bhudeko Khadya Udyog - BKU</t>
  </si>
  <si>
    <t>Godhar</t>
  </si>
  <si>
    <t>Yak Brewery</t>
  </si>
  <si>
    <t>Khuritar</t>
  </si>
  <si>
    <t>Sarbotham Steel Ltd. - SSL</t>
  </si>
  <si>
    <t>Parwanipur</t>
  </si>
  <si>
    <t>Jagadamba Tea Processing - JTP</t>
  </si>
  <si>
    <t>Bhadrapur</t>
  </si>
  <si>
    <t>Premier Organics Limited - POL</t>
  </si>
  <si>
    <t>Duhabi</t>
  </si>
  <si>
    <t>Yeti Brewery</t>
  </si>
  <si>
    <t>Khairahani</t>
  </si>
  <si>
    <t>South Asian Beverages - SAB</t>
  </si>
  <si>
    <t>Parsa</t>
  </si>
  <si>
    <t>Nutri Foods</t>
  </si>
  <si>
    <t>CAPEX</t>
  </si>
  <si>
    <t>Utsav's House</t>
  </si>
  <si>
    <t>Lalitpur</t>
  </si>
  <si>
    <t>Jay Shree Polymer</t>
  </si>
  <si>
    <t>Jay Shree PU Tech</t>
  </si>
  <si>
    <t>Jay Shree Company</t>
  </si>
  <si>
    <t>Mainawati Steel</t>
  </si>
  <si>
    <t>National Trust for Nature Conservation - NTNC</t>
  </si>
  <si>
    <t>Global Auto mobiles</t>
  </si>
  <si>
    <t>Alexa Life Sciences</t>
  </si>
  <si>
    <t>Fashion Fabrics Export</t>
  </si>
  <si>
    <t>Industrial rooftop</t>
  </si>
  <si>
    <t>Construction</t>
  </si>
  <si>
    <t>Commercial Building</t>
  </si>
  <si>
    <t>Kathmandu</t>
  </si>
  <si>
    <t>BESS</t>
  </si>
  <si>
    <t>Designing</t>
  </si>
  <si>
    <t>Residential Building</t>
  </si>
  <si>
    <t>Katmandu</t>
  </si>
  <si>
    <t>................</t>
  </si>
  <si>
    <t>Chitwan</t>
  </si>
  <si>
    <t>Negotiation</t>
  </si>
  <si>
    <t>Dhanusha</t>
  </si>
  <si>
    <t>Mahottari</t>
  </si>
  <si>
    <t>Morang</t>
  </si>
  <si>
    <t>Nawalparasi</t>
  </si>
  <si>
    <t>Nawalpur</t>
  </si>
  <si>
    <t>Queries</t>
  </si>
  <si>
    <t>No cost of material in FY 2080/81</t>
  </si>
  <si>
    <t>Investment Details</t>
  </si>
  <si>
    <t xml:space="preserve">Details of Intangible Assets </t>
  </si>
  <si>
    <t>Operational Projections</t>
  </si>
  <si>
    <t>Details</t>
  </si>
  <si>
    <t>Unit</t>
  </si>
  <si>
    <t>Till 2025</t>
  </si>
  <si>
    <t>Till 2026</t>
  </si>
  <si>
    <t>Remarks</t>
  </si>
  <si>
    <t>OPEX/RESCO</t>
  </si>
  <si>
    <t>Ground Mounted</t>
  </si>
  <si>
    <t>AMC</t>
  </si>
  <si>
    <t>Energy Efficiency</t>
  </si>
  <si>
    <t>L-REC</t>
  </si>
  <si>
    <t>MWp</t>
  </si>
  <si>
    <t>KWh</t>
  </si>
  <si>
    <t>No</t>
  </si>
  <si>
    <t>Mt CP2 reduction</t>
  </si>
  <si>
    <t>Currently Under procurement</t>
  </si>
  <si>
    <t>Net Simple Energy Equiry Basis</t>
  </si>
  <si>
    <t>Currently in agreement stage</t>
  </si>
  <si>
    <t>OPEX / RESCO</t>
  </si>
  <si>
    <t>Annual incremental capacity</t>
  </si>
  <si>
    <t>BESS – Sales Revenue</t>
  </si>
  <si>
    <t>–</t>
  </si>
  <si>
    <t>Long-term investment – dividend</t>
  </si>
  <si>
    <t>Mainly grant-based projects</t>
  </si>
  <si>
    <t>I-REC</t>
  </si>
  <si>
    <t>Total Cash In-Flow</t>
  </si>
  <si>
    <t>OPEX / RESCO – operation</t>
  </si>
  <si>
    <t>Ground Mounted – investment</t>
  </si>
  <si>
    <t>Long-term investment in companies</t>
  </si>
  <si>
    <t>Total Cash Outflow</t>
  </si>
  <si>
    <t>Costs/investments projection</t>
  </si>
  <si>
    <t>Revenue projection</t>
  </si>
  <si>
    <t>Assets and Investments – Projections</t>
  </si>
  <si>
    <t>OPEX/RESCO Projects</t>
  </si>
  <si>
    <t>NPR'000</t>
  </si>
  <si>
    <t>Cumulative-Net of depreciation</t>
  </si>
  <si>
    <t>Investment in Assets- net of grant</t>
  </si>
  <si>
    <t>Equity Investment-Cumulative</t>
  </si>
  <si>
    <t>Operational (P/L) Projections</t>
  </si>
  <si>
    <t>Revenue</t>
  </si>
  <si>
    <t>Revenue from OPEX</t>
  </si>
  <si>
    <t>Revenue from CAPEX</t>
  </si>
  <si>
    <t>BESS-Revenue</t>
  </si>
  <si>
    <t>Ground Mounted-Dividend</t>
  </si>
  <si>
    <t>AMC-Revenue</t>
  </si>
  <si>
    <t>Energy Efficiency Revenue</t>
  </si>
  <si>
    <t>IREC Revenue</t>
  </si>
  <si>
    <t>Total Revenue</t>
  </si>
  <si>
    <t>Costs</t>
  </si>
  <si>
    <t>Total Costs</t>
  </si>
  <si>
    <t>Operating Profit</t>
  </si>
  <si>
    <t>Electricity Sales</t>
  </si>
  <si>
    <t>System Sales</t>
  </si>
  <si>
    <t>AMC Income</t>
  </si>
  <si>
    <t>Cost</t>
  </si>
  <si>
    <t>Revenue From Operations</t>
  </si>
  <si>
    <t>Cost of Plant Operations</t>
  </si>
  <si>
    <t>Employee Cost</t>
  </si>
  <si>
    <t>Admin Exp</t>
  </si>
  <si>
    <t>Extra Ordinary Expenses</t>
  </si>
  <si>
    <t>Borrowing Cost</t>
  </si>
  <si>
    <t>Depn</t>
  </si>
  <si>
    <t>Gross Profit</t>
  </si>
  <si>
    <t>EBIT Margin</t>
  </si>
  <si>
    <t xml:space="preserve">Bonus </t>
  </si>
  <si>
    <t>CSR</t>
  </si>
  <si>
    <t>Earnings Before Tax</t>
  </si>
  <si>
    <t>EBT Margin</t>
  </si>
  <si>
    <t>GP Margin</t>
  </si>
  <si>
    <t>Earning Before Interest, Tax &amp; Depn</t>
  </si>
  <si>
    <t>Earnings Before Interest &amp; Tax</t>
  </si>
  <si>
    <t>Total Income</t>
  </si>
  <si>
    <t>Pure Energy Limited</t>
  </si>
  <si>
    <t>Dimension</t>
  </si>
  <si>
    <t>CAPEX Model (Customer-Owned Solar)</t>
  </si>
  <si>
    <t>OPEX Model (RESCO / IPP-Owned Solar)</t>
  </si>
  <si>
    <t>Asset Ownership</t>
  </si>
  <si>
    <t>Customer owns the solar plant</t>
  </si>
  <si>
    <t>Solar company owns the asset</t>
  </si>
  <si>
    <t>Typical Customers (Nepal)</t>
  </si>
  <si>
    <t>Hotels, factories, banks, hospitals, schools, government, NGOs</t>
  </si>
  <si>
    <t>NEA (utility IPP), large corporates, captive users</t>
  </si>
  <si>
    <t>Regulatory Interface</t>
  </si>
  <si>
    <t>Net-metering approval (NEA), AEPC subsidy (if applicable)</t>
  </si>
  <si>
    <t>NEA PPA approval, grid connection, licensing</t>
  </si>
  <si>
    <t>Primary Revenue Source</t>
  </si>
  <si>
    <t>EPC contract payment (one-time)</t>
  </si>
  <si>
    <t>Electricity sales under long-term PPA</t>
  </si>
  <si>
    <t>Revenue Pricing (Nepal)</t>
  </si>
  <si>
    <t>NPR 90,000–120,000 per kWp (rooftop EPC)</t>
  </si>
  <si>
    <t>PPA tariff: • NEA utility solar: ~NPR 5.94/kWh • Corporate RESCO: NPR 7–10/kWh</t>
  </si>
  <si>
    <t>Revenue Nature</t>
  </si>
  <si>
    <t>One-time, project-based</t>
  </si>
  <si>
    <t>Recurring, annuity-based</t>
  </si>
  <si>
    <t>Contract Tenure</t>
  </si>
  <si>
    <t>3–6 months EPC cycle</t>
  </si>
  <si>
    <t>10–25 years</t>
  </si>
  <si>
    <t>Payment Timeline</t>
  </si>
  <si>
    <t>Milestone or commissioning-linked</t>
  </si>
  <si>
    <t>Monthly / quarterly energy billing</t>
  </si>
  <si>
    <t>Cash Flow Timing</t>
  </si>
  <si>
    <t>Front-loaded</t>
  </si>
  <si>
    <t>Back-ended but stable</t>
  </si>
  <si>
    <t>Typical Annual Yield</t>
  </si>
  <si>
    <t>Not applicable</t>
  </si>
  <si>
    <t>~1,400–1,600 kWh per kWp (Nepal)</t>
  </si>
  <si>
    <t>Recurring Add-on Revenue</t>
  </si>
  <si>
    <t>O&amp;M contracts (1–2% of EPC cost per year)</t>
  </si>
  <si>
    <t>O&amp;M embedded in ownership</t>
  </si>
  <si>
    <t>Carbon / I-REC Upside</t>
  </si>
  <si>
    <t>Usually belongs to customer</t>
  </si>
  <si>
    <t>Developer can monetize</t>
  </si>
  <si>
    <t>Capital Requirement</t>
  </si>
  <si>
    <t>Low</t>
  </si>
  <si>
    <t>High (equity + project debt)</t>
  </si>
  <si>
    <t>Balance Sheet Impact</t>
  </si>
  <si>
    <t>Asset-light</t>
  </si>
  <si>
    <t>Asset-heavy</t>
  </si>
  <si>
    <t>Project IRR (Typical Nepal)</t>
  </si>
  <si>
    <t>10–14% (contractor margin driven)</t>
  </si>
  <si>
    <t>12–18% (project-level IRR)</t>
  </si>
  <si>
    <t>Risk Profile</t>
  </si>
  <si>
    <t>Execution risk, payment delays</t>
  </si>
  <si>
    <t>Counterparty risk (NEA), generation risk</t>
  </si>
  <si>
    <t>Bankability</t>
  </si>
  <si>
    <t>Limited long-term financing</t>
  </si>
  <si>
    <t>Strong if NEA-backed PPA</t>
  </si>
  <si>
    <t>Scalability</t>
  </si>
  <si>
    <t>High volume, faster expansion</t>
  </si>
  <si>
    <t>Slower but builds asset base</t>
  </si>
  <si>
    <t>Exit / Monetization</t>
  </si>
  <si>
    <t>None</t>
  </si>
  <si>
    <t>Asset sale, refinancing, yield play</t>
  </si>
  <si>
    <t>Valuation Impact</t>
  </si>
  <si>
    <t>Revenue multiple</t>
  </si>
  <si>
    <t>Asset + cash-flow multiple</t>
  </si>
  <si>
    <t>Best Use Case in Nepal</t>
  </si>
  <si>
    <t>Cash flow generation, market entry</t>
  </si>
  <si>
    <t>Long-term value creation</t>
  </si>
  <si>
    <t>1,500 kWh per kWp per year</t>
  </si>
  <si>
    <t>KWH Per Annum</t>
  </si>
  <si>
    <t>CAPEX Prokects (Kwp)</t>
  </si>
  <si>
    <r>
      <t>Battery Energy Storage System</t>
    </r>
    <r>
      <rPr>
        <i/>
        <sz val="11"/>
        <color theme="1"/>
        <rFont val="Calibri"/>
        <family val="2"/>
        <scheme val="minor"/>
      </rPr>
      <t>. I</t>
    </r>
  </si>
  <si>
    <t>Incremental Kwh</t>
  </si>
  <si>
    <t>Pure Energy Ltd. operates a 20 MW solar PV power facility in Raniyapur, Khajura Rural Municipality, Banke. The facility consists of two projects: Pure Energy I and Pure Energy II, each generating 10 MW of solar PV energy, totaling a capacity of 20 MW.</t>
  </si>
  <si>
    <t xml:space="preserve">Net Mirroring </t>
  </si>
  <si>
    <t>2079/80</t>
  </si>
  <si>
    <t>2080/81</t>
  </si>
  <si>
    <t>2081/82</t>
  </si>
  <si>
    <t>Earning Per Share</t>
  </si>
  <si>
    <t>NAV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</si>
</sst>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0.0%"/>
    <numFmt numFmtId="172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CC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theme="1" tint="4.9989318521683403E-2"/>
      <name val="Cambria"/>
      <family val="1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CC"/>
      <name val="Cambria"/>
      <family val="1"/>
    </font>
    <font>
      <sz val="10"/>
      <color theme="1" tint="4.9989318521683403E-2"/>
      <name val="Cambria"/>
      <family val="1"/>
    </font>
    <font>
      <b/>
      <sz val="11"/>
      <color theme="1"/>
      <name val="Calibri"/>
      <family val="2"/>
      <scheme val="minor"/>
    </font>
    <font>
      <sz val="9"/>
      <color theme="1"/>
      <name val="Lato"/>
    </font>
    <font>
      <b/>
      <sz val="9"/>
      <color theme="1"/>
      <name val="Lato"/>
    </font>
    <font>
      <b/>
      <sz val="9"/>
      <color rgb="FF0000CC"/>
      <name val="Lato"/>
    </font>
    <font>
      <b/>
      <sz val="9"/>
      <color theme="1"/>
      <name val="Lato"/>
      <family val="2"/>
    </font>
    <font>
      <sz val="9"/>
      <color theme="1"/>
      <name val="Lato"/>
      <family val="2"/>
    </font>
    <font>
      <b/>
      <sz val="10"/>
      <color rgb="FFFF0000"/>
      <name val="Cambria"/>
      <family val="1"/>
    </font>
    <font>
      <i/>
      <sz val="9"/>
      <color theme="1"/>
      <name val="Lato"/>
      <family val="2"/>
    </font>
    <font>
      <i/>
      <sz val="9"/>
      <color rgb="FFFF0000"/>
      <name val="Lato"/>
      <family val="2"/>
    </font>
    <font>
      <b/>
      <sz val="9"/>
      <color rgb="FF0000CC"/>
      <name val="Lato"/>
      <family val="2"/>
    </font>
    <font>
      <sz val="9"/>
      <color rgb="FF0000CC"/>
      <name val="Lato"/>
      <family val="2"/>
    </font>
    <font>
      <sz val="9"/>
      <color rgb="FF000000"/>
      <name val="Lato"/>
      <family val="2"/>
    </font>
    <font>
      <b/>
      <sz val="9"/>
      <color theme="0"/>
      <name val="Lato"/>
      <family val="2"/>
    </font>
    <font>
      <b/>
      <i/>
      <sz val="9"/>
      <color rgb="FF000000"/>
      <name val="Lato"/>
      <family val="2"/>
    </font>
    <font>
      <sz val="9"/>
      <color rgb="FFC00000"/>
      <name val="Lato"/>
      <family val="2"/>
    </font>
    <font>
      <b/>
      <sz val="9"/>
      <color rgb="FF000000"/>
      <name val="Lato"/>
      <family val="2"/>
    </font>
    <font>
      <b/>
      <sz val="9"/>
      <color theme="1" tint="4.9989318521683403E-2"/>
      <name val="Lato"/>
      <family val="2"/>
    </font>
    <font>
      <i/>
      <sz val="11"/>
      <color theme="1"/>
      <name val="Calibri"/>
      <family val="2"/>
      <scheme val="minor"/>
    </font>
    <font>
      <b/>
      <i/>
      <sz val="9"/>
      <color theme="1"/>
      <name val="Lato"/>
      <family val="2"/>
    </font>
    <font>
      <b/>
      <i/>
      <sz val="11"/>
      <color theme="1"/>
      <name val="Calibri"/>
      <family val="2"/>
      <scheme val="minor"/>
    </font>
    <font>
      <i/>
      <sz val="9"/>
      <color rgb="FFC00000"/>
      <name val="Lato"/>
      <family val="2"/>
    </font>
    <font>
      <b/>
      <sz val="9"/>
      <color rgb="FFC00000"/>
      <name val="Lato"/>
      <family val="2"/>
    </font>
    <font>
      <b/>
      <i/>
      <sz val="10"/>
      <color rgb="FF0000CC"/>
      <name val="Cambria"/>
      <family val="1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1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/>
  </cellStyleXfs>
  <cellXfs count="203">
    <xf numFmtId="0" fontId="0" fillId="0" borderId="0" xfId="0"/>
    <xf numFmtId="0" fontId="4" fillId="0" borderId="0" xfId="0" applyFont="1"/>
    <xf numFmtId="165" fontId="5" fillId="3" borderId="0" xfId="1" applyNumberFormat="1" applyFont="1" applyFill="1"/>
    <xf numFmtId="165" fontId="4" fillId="0" borderId="0" xfId="1" applyNumberFormat="1" applyFont="1"/>
    <xf numFmtId="164" fontId="4" fillId="0" borderId="0" xfId="0" applyNumberFormat="1" applyFont="1"/>
    <xf numFmtId="0" fontId="5" fillId="0" borderId="0" xfId="0" applyFont="1"/>
    <xf numFmtId="0" fontId="5" fillId="2" borderId="0" xfId="0" applyFont="1" applyFill="1"/>
    <xf numFmtId="165" fontId="5" fillId="2" borderId="0" xfId="1" applyNumberFormat="1" applyFont="1" applyFill="1"/>
    <xf numFmtId="165" fontId="5" fillId="0" borderId="0" xfId="1" applyNumberFormat="1" applyFont="1"/>
    <xf numFmtId="165" fontId="5" fillId="0" borderId="0" xfId="1" applyNumberFormat="1" applyFont="1" applyFill="1"/>
    <xf numFmtId="165" fontId="4" fillId="0" borderId="0" xfId="1" applyNumberFormat="1" applyFont="1" applyFill="1"/>
    <xf numFmtId="164" fontId="4" fillId="0" borderId="0" xfId="1" applyFont="1"/>
    <xf numFmtId="166" fontId="4" fillId="0" borderId="0" xfId="1" applyNumberFormat="1" applyFont="1"/>
    <xf numFmtId="166" fontId="5" fillId="2" borderId="0" xfId="1" applyNumberFormat="1" applyFont="1" applyFill="1"/>
    <xf numFmtId="9" fontId="4" fillId="0" borderId="0" xfId="2" applyFont="1"/>
    <xf numFmtId="0" fontId="5" fillId="6" borderId="0" xfId="0" applyFont="1" applyFill="1"/>
    <xf numFmtId="166" fontId="5" fillId="6" borderId="0" xfId="1" applyNumberFormat="1" applyFont="1" applyFill="1"/>
    <xf numFmtId="166" fontId="5" fillId="0" borderId="0" xfId="1" applyNumberFormat="1" applyFont="1"/>
    <xf numFmtId="9" fontId="11" fillId="0" borderId="0" xfId="2" applyFont="1"/>
    <xf numFmtId="166" fontId="11" fillId="0" borderId="0" xfId="1" applyNumberFormat="1" applyFont="1"/>
    <xf numFmtId="166" fontId="5" fillId="0" borderId="0" xfId="1" applyNumberFormat="1" applyFont="1" applyFill="1"/>
    <xf numFmtId="2" fontId="4" fillId="0" borderId="0" xfId="0" applyNumberFormat="1" applyFont="1"/>
    <xf numFmtId="0" fontId="5" fillId="7" borderId="0" xfId="0" applyFont="1" applyFill="1"/>
    <xf numFmtId="164" fontId="5" fillId="2" borderId="0" xfId="0" applyNumberFormat="1" applyFont="1" applyFill="1"/>
    <xf numFmtId="9" fontId="12" fillId="0" borderId="0" xfId="2" applyFont="1"/>
    <xf numFmtId="9" fontId="11" fillId="0" borderId="0" xfId="0" applyNumberFormat="1" applyFont="1"/>
    <xf numFmtId="0" fontId="5" fillId="5" borderId="0" xfId="0" applyFont="1" applyFill="1"/>
    <xf numFmtId="166" fontId="5" fillId="5" borderId="0" xfId="1" applyNumberFormat="1" applyFont="1" applyFill="1"/>
    <xf numFmtId="0" fontId="6" fillId="0" borderId="0" xfId="0" applyFont="1"/>
    <xf numFmtId="0" fontId="5" fillId="8" borderId="0" xfId="0" applyFont="1" applyFill="1"/>
    <xf numFmtId="164" fontId="5" fillId="8" borderId="0" xfId="1" applyFont="1" applyFill="1"/>
    <xf numFmtId="165" fontId="4" fillId="0" borderId="0" xfId="0" applyNumberFormat="1" applyFont="1"/>
    <xf numFmtId="43" fontId="5" fillId="3" borderId="0" xfId="1" applyNumberFormat="1" applyFont="1" applyFill="1"/>
    <xf numFmtId="43" fontId="4" fillId="0" borderId="0" xfId="1" applyNumberFormat="1" applyFont="1"/>
    <xf numFmtId="166" fontId="5" fillId="3" borderId="0" xfId="1" applyNumberFormat="1" applyFont="1" applyFill="1"/>
    <xf numFmtId="166" fontId="4" fillId="0" borderId="0" xfId="1" applyNumberFormat="1" applyFont="1" applyFill="1"/>
    <xf numFmtId="165" fontId="3" fillId="0" borderId="0" xfId="1" applyNumberFormat="1" applyFont="1"/>
    <xf numFmtId="166" fontId="3" fillId="0" borderId="0" xfId="1" applyNumberFormat="1" applyFont="1"/>
    <xf numFmtId="43" fontId="4" fillId="0" borderId="0" xfId="0" applyNumberFormat="1" applyFont="1"/>
    <xf numFmtId="43" fontId="5" fillId="3" borderId="0" xfId="0" applyNumberFormat="1" applyFont="1" applyFill="1"/>
    <xf numFmtId="43" fontId="11" fillId="2" borderId="0" xfId="0" applyNumberFormat="1" applyFont="1" applyFill="1"/>
    <xf numFmtId="164" fontId="0" fillId="0" borderId="0" xfId="1" applyFont="1"/>
    <xf numFmtId="0" fontId="13" fillId="0" borderId="0" xfId="0" applyFont="1"/>
    <xf numFmtId="164" fontId="13" fillId="0" borderId="0" xfId="1" applyFont="1"/>
    <xf numFmtId="0" fontId="14" fillId="0" borderId="0" xfId="0" applyFont="1"/>
    <xf numFmtId="0" fontId="15" fillId="0" borderId="0" xfId="0" applyFont="1"/>
    <xf numFmtId="0" fontId="15" fillId="3" borderId="6" xfId="0" applyFont="1" applyFill="1" applyBorder="1"/>
    <xf numFmtId="0" fontId="14" fillId="0" borderId="6" xfId="0" applyFont="1" applyBorder="1"/>
    <xf numFmtId="0" fontId="16" fillId="0" borderId="0" xfId="0" applyFont="1"/>
    <xf numFmtId="0" fontId="15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/>
    <xf numFmtId="0" fontId="15" fillId="3" borderId="6" xfId="0" applyFont="1" applyFill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165" fontId="14" fillId="0" borderId="6" xfId="1" applyNumberFormat="1" applyFont="1" applyBorder="1"/>
    <xf numFmtId="0" fontId="15" fillId="2" borderId="6" xfId="0" applyFont="1" applyFill="1" applyBorder="1" applyAlignment="1">
      <alignment vertical="center" wrapText="1"/>
    </xf>
    <xf numFmtId="0" fontId="14" fillId="2" borderId="6" xfId="0" applyFont="1" applyFill="1" applyBorder="1"/>
    <xf numFmtId="165" fontId="15" fillId="2" borderId="6" xfId="1" applyNumberFormat="1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vertical="center" wrapText="1"/>
    </xf>
    <xf numFmtId="165" fontId="15" fillId="0" borderId="0" xfId="1" applyNumberFormat="1" applyFont="1" applyFill="1" applyBorder="1" applyAlignment="1">
      <alignment horizontal="right" vertical="center" wrapText="1"/>
    </xf>
    <xf numFmtId="3" fontId="15" fillId="2" borderId="6" xfId="0" applyNumberFormat="1" applyFont="1" applyFill="1" applyBorder="1" applyAlignment="1">
      <alignment horizontal="right" vertical="center" wrapText="1"/>
    </xf>
    <xf numFmtId="0" fontId="14" fillId="2" borderId="0" xfId="0" applyFont="1" applyFill="1"/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0" xfId="0" applyFont="1"/>
    <xf numFmtId="165" fontId="0" fillId="0" borderId="6" xfId="1" applyNumberFormat="1" applyFont="1" applyBorder="1"/>
    <xf numFmtId="165" fontId="17" fillId="0" borderId="6" xfId="1" applyNumberFormat="1" applyFont="1" applyBorder="1"/>
    <xf numFmtId="165" fontId="18" fillId="0" borderId="6" xfId="1" applyNumberFormat="1" applyFont="1" applyBorder="1"/>
    <xf numFmtId="0" fontId="17" fillId="2" borderId="0" xfId="0" applyFont="1" applyFill="1"/>
    <xf numFmtId="0" fontId="15" fillId="2" borderId="0" xfId="0" applyFont="1" applyFill="1" applyAlignment="1">
      <alignment horizontal="right" vertical="center" wrapText="1"/>
    </xf>
    <xf numFmtId="0" fontId="18" fillId="0" borderId="0" xfId="0" applyFont="1"/>
    <xf numFmtId="165" fontId="14" fillId="0" borderId="0" xfId="1" applyNumberFormat="1" applyFont="1" applyBorder="1"/>
    <xf numFmtId="165" fontId="17" fillId="2" borderId="0" xfId="1" applyNumberFormat="1" applyFont="1" applyFill="1" applyBorder="1" applyAlignment="1">
      <alignment horizontal="right" vertical="center" wrapText="1"/>
    </xf>
    <xf numFmtId="0" fontId="17" fillId="2" borderId="0" xfId="0" applyFont="1" applyFill="1" applyAlignment="1">
      <alignment vertical="center" wrapText="1"/>
    </xf>
    <xf numFmtId="3" fontId="15" fillId="2" borderId="0" xfId="0" applyNumberFormat="1" applyFont="1" applyFill="1" applyAlignment="1">
      <alignment horizontal="right" vertical="center" wrapText="1"/>
    </xf>
    <xf numFmtId="165" fontId="17" fillId="0" borderId="0" xfId="0" applyNumberFormat="1" applyFont="1"/>
    <xf numFmtId="164" fontId="5" fillId="0" borderId="0" xfId="1" applyFont="1"/>
    <xf numFmtId="165" fontId="5" fillId="0" borderId="0" xfId="0" applyNumberFormat="1" applyFont="1"/>
    <xf numFmtId="164" fontId="0" fillId="0" borderId="0" xfId="0" applyNumberFormat="1"/>
    <xf numFmtId="0" fontId="0" fillId="6" borderId="0" xfId="0" applyFill="1"/>
    <xf numFmtId="164" fontId="0" fillId="6" borderId="0" xfId="1" applyFont="1" applyFill="1"/>
    <xf numFmtId="0" fontId="19" fillId="0" borderId="0" xfId="0" applyFont="1"/>
    <xf numFmtId="10" fontId="5" fillId="0" borderId="0" xfId="2" applyNumberFormat="1" applyFont="1"/>
    <xf numFmtId="164" fontId="13" fillId="0" borderId="0" xfId="0" applyNumberFormat="1" applyFont="1"/>
    <xf numFmtId="165" fontId="18" fillId="0" borderId="0" xfId="1" applyNumberFormat="1" applyFont="1"/>
    <xf numFmtId="9" fontId="18" fillId="0" borderId="0" xfId="2" applyFont="1"/>
    <xf numFmtId="0" fontId="20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3" applyFont="1" applyAlignment="1">
      <alignment horizontal="left" vertical="top"/>
    </xf>
    <xf numFmtId="0" fontId="22" fillId="0" borderId="0" xfId="3" applyFont="1" applyAlignment="1">
      <alignment horizontal="right" vertical="top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24" fillId="0" borderId="0" xfId="3" applyFont="1" applyAlignment="1">
      <alignment horizontal="left" vertical="top"/>
    </xf>
    <xf numFmtId="0" fontId="24" fillId="0" borderId="0" xfId="3" applyFont="1" applyAlignment="1">
      <alignment horizontal="right" vertical="top"/>
    </xf>
    <xf numFmtId="0" fontId="18" fillId="0" borderId="0" xfId="0" applyFont="1" applyAlignment="1">
      <alignment horizontal="right"/>
    </xf>
    <xf numFmtId="0" fontId="25" fillId="4" borderId="0" xfId="3" applyFont="1" applyFill="1" applyAlignment="1">
      <alignment horizontal="left" vertical="top"/>
    </xf>
    <xf numFmtId="0" fontId="25" fillId="4" borderId="2" xfId="3" applyFont="1" applyFill="1" applyBorder="1" applyAlignment="1">
      <alignment horizontal="right" vertical="top"/>
    </xf>
    <xf numFmtId="0" fontId="25" fillId="4" borderId="3" xfId="3" applyFont="1" applyFill="1" applyBorder="1" applyAlignment="1">
      <alignment horizontal="right" vertical="top"/>
    </xf>
    <xf numFmtId="0" fontId="26" fillId="2" borderId="1" xfId="3" applyFont="1" applyFill="1" applyBorder="1" applyAlignment="1">
      <alignment horizontal="left" vertical="top"/>
    </xf>
    <xf numFmtId="0" fontId="26" fillId="2" borderId="4" xfId="3" applyFont="1" applyFill="1" applyBorder="1" applyAlignment="1">
      <alignment horizontal="left" vertical="top"/>
    </xf>
    <xf numFmtId="0" fontId="26" fillId="2" borderId="5" xfId="3" applyFont="1" applyFill="1" applyBorder="1" applyAlignment="1">
      <alignment horizontal="right" vertical="top"/>
    </xf>
    <xf numFmtId="0" fontId="18" fillId="2" borderId="4" xfId="0" applyFont="1" applyFill="1" applyBorder="1" applyAlignment="1">
      <alignment horizontal="right"/>
    </xf>
    <xf numFmtId="0" fontId="18" fillId="2" borderId="5" xfId="0" applyFont="1" applyFill="1" applyBorder="1" applyAlignment="1">
      <alignment horizontal="right"/>
    </xf>
    <xf numFmtId="9" fontId="24" fillId="0" borderId="2" xfId="2" applyFont="1" applyBorder="1" applyAlignment="1">
      <alignment horizontal="center" vertical="top"/>
    </xf>
    <xf numFmtId="9" fontId="24" fillId="0" borderId="3" xfId="2" applyFont="1" applyBorder="1" applyAlignment="1">
      <alignment horizontal="center" vertical="top"/>
    </xf>
    <xf numFmtId="9" fontId="27" fillId="0" borderId="2" xfId="2" applyFont="1" applyBorder="1" applyAlignment="1">
      <alignment horizontal="center" vertical="top"/>
    </xf>
    <xf numFmtId="9" fontId="27" fillId="0" borderId="3" xfId="2" applyFont="1" applyBorder="1" applyAlignment="1">
      <alignment horizontal="center" vertical="top"/>
    </xf>
    <xf numFmtId="0" fontId="24" fillId="0" borderId="2" xfId="3" applyFont="1" applyBorder="1" applyAlignment="1">
      <alignment horizontal="center" vertical="top"/>
    </xf>
    <xf numFmtId="0" fontId="24" fillId="0" borderId="3" xfId="3" applyFont="1" applyBorder="1" applyAlignment="1">
      <alignment horizontal="center" vertical="top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6" fillId="2" borderId="4" xfId="3" applyFont="1" applyFill="1" applyBorder="1" applyAlignment="1">
      <alignment horizontal="center" vertical="top"/>
    </xf>
    <xf numFmtId="0" fontId="26" fillId="2" borderId="5" xfId="3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164" fontId="24" fillId="0" borderId="2" xfId="1" applyFont="1" applyBorder="1" applyAlignment="1">
      <alignment horizontal="center" vertical="top"/>
    </xf>
    <xf numFmtId="164" fontId="24" fillId="0" borderId="3" xfId="1" applyFont="1" applyBorder="1" applyAlignment="1">
      <alignment horizontal="center" vertical="top"/>
    </xf>
    <xf numFmtId="2" fontId="24" fillId="0" borderId="3" xfId="3" applyNumberFormat="1" applyFont="1" applyBorder="1" applyAlignment="1">
      <alignment horizontal="center" vertical="top"/>
    </xf>
    <xf numFmtId="2" fontId="24" fillId="0" borderId="2" xfId="3" applyNumberFormat="1" applyFont="1" applyBorder="1" applyAlignment="1">
      <alignment horizontal="center" vertical="top"/>
    </xf>
    <xf numFmtId="165" fontId="18" fillId="0" borderId="3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0" fontId="24" fillId="0" borderId="0" xfId="3" applyFont="1" applyAlignment="1">
      <alignment horizontal="left" vertical="center"/>
    </xf>
    <xf numFmtId="165" fontId="24" fillId="0" borderId="2" xfId="1" applyNumberFormat="1" applyFont="1" applyBorder="1" applyAlignment="1">
      <alignment horizontal="center" vertical="center"/>
    </xf>
    <xf numFmtId="165" fontId="24" fillId="0" borderId="3" xfId="1" applyNumberFormat="1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4" fillId="0" borderId="3" xfId="3" applyFont="1" applyBorder="1" applyAlignment="1">
      <alignment horizontal="center" vertical="center"/>
    </xf>
    <xf numFmtId="0" fontId="28" fillId="2" borderId="1" xfId="3" applyFont="1" applyFill="1" applyBorder="1" applyAlignment="1">
      <alignment horizontal="left" vertical="center"/>
    </xf>
    <xf numFmtId="164" fontId="28" fillId="2" borderId="4" xfId="1" applyFont="1" applyFill="1" applyBorder="1" applyAlignment="1">
      <alignment horizontal="center" vertical="center"/>
    </xf>
    <xf numFmtId="164" fontId="28" fillId="2" borderId="5" xfId="1" applyFont="1" applyFill="1" applyBorder="1" applyAlignment="1">
      <alignment horizontal="center" vertical="center"/>
    </xf>
    <xf numFmtId="0" fontId="28" fillId="0" borderId="0" xfId="3" applyFont="1" applyAlignment="1">
      <alignment horizontal="left" vertical="center"/>
    </xf>
    <xf numFmtId="0" fontId="28" fillId="0" borderId="2" xfId="3" applyFont="1" applyBorder="1" applyAlignment="1">
      <alignment horizontal="center" vertical="center"/>
    </xf>
    <xf numFmtId="165" fontId="28" fillId="0" borderId="3" xfId="1" applyNumberFormat="1" applyFont="1" applyBorder="1" applyAlignment="1">
      <alignment horizontal="center" vertical="center"/>
    </xf>
    <xf numFmtId="165" fontId="18" fillId="0" borderId="2" xfId="1" applyNumberFormat="1" applyFont="1" applyBorder="1" applyAlignment="1">
      <alignment horizontal="center"/>
    </xf>
    <xf numFmtId="165" fontId="18" fillId="0" borderId="3" xfId="1" applyNumberFormat="1" applyFont="1" applyBorder="1" applyAlignment="1">
      <alignment horizontal="center"/>
    </xf>
    <xf numFmtId="165" fontId="24" fillId="0" borderId="2" xfId="1" applyNumberFormat="1" applyFont="1" applyBorder="1" applyAlignment="1">
      <alignment horizontal="center" vertical="top"/>
    </xf>
    <xf numFmtId="165" fontId="24" fillId="0" borderId="3" xfId="1" applyNumberFormat="1" applyFont="1" applyBorder="1" applyAlignment="1">
      <alignment horizontal="center" vertical="top"/>
    </xf>
    <xf numFmtId="0" fontId="28" fillId="2" borderId="0" xfId="3" applyFont="1" applyFill="1" applyAlignment="1">
      <alignment horizontal="left" vertical="top"/>
    </xf>
    <xf numFmtId="164" fontId="28" fillId="2" borderId="2" xfId="1" applyFont="1" applyFill="1" applyBorder="1" applyAlignment="1">
      <alignment horizontal="center" vertical="top"/>
    </xf>
    <xf numFmtId="164" fontId="28" fillId="2" borderId="3" xfId="1" applyFont="1" applyFill="1" applyBorder="1" applyAlignment="1">
      <alignment horizontal="center" vertical="top"/>
    </xf>
    <xf numFmtId="0" fontId="29" fillId="3" borderId="0" xfId="3" applyFont="1" applyFill="1" applyAlignment="1">
      <alignment horizontal="left" vertical="top"/>
    </xf>
    <xf numFmtId="165" fontId="29" fillId="3" borderId="2" xfId="1" applyNumberFormat="1" applyFont="1" applyFill="1" applyBorder="1" applyAlignment="1">
      <alignment horizontal="center" vertical="top"/>
    </xf>
    <xf numFmtId="165" fontId="29" fillId="3" borderId="3" xfId="1" applyNumberFormat="1" applyFont="1" applyFill="1" applyBorder="1" applyAlignment="1">
      <alignment horizontal="center" vertical="top"/>
    </xf>
    <xf numFmtId="0" fontId="29" fillId="0" borderId="0" xfId="0" applyFont="1" applyAlignment="1">
      <alignment horizontal="center"/>
    </xf>
    <xf numFmtId="0" fontId="22" fillId="0" borderId="2" xfId="3" applyFont="1" applyBorder="1" applyAlignment="1">
      <alignment horizontal="center" vertical="top"/>
    </xf>
    <xf numFmtId="0" fontId="22" fillId="0" borderId="3" xfId="3" applyFont="1" applyBorder="1" applyAlignment="1">
      <alignment horizontal="center" vertical="top"/>
    </xf>
    <xf numFmtId="2" fontId="22" fillId="0" borderId="2" xfId="3" applyNumberFormat="1" applyFont="1" applyBorder="1" applyAlignment="1">
      <alignment horizontal="center" vertical="top"/>
    </xf>
    <xf numFmtId="2" fontId="22" fillId="0" borderId="3" xfId="3" applyNumberFormat="1" applyFont="1" applyBorder="1" applyAlignment="1">
      <alignment horizontal="center" vertical="top"/>
    </xf>
    <xf numFmtId="0" fontId="22" fillId="0" borderId="0" xfId="3" applyFont="1" applyAlignment="1">
      <alignment horizontal="center" vertical="top"/>
    </xf>
    <xf numFmtId="0" fontId="18" fillId="0" borderId="0" xfId="0" applyFont="1" applyAlignment="1">
      <alignment horizontal="left"/>
    </xf>
    <xf numFmtId="0" fontId="30" fillId="0" borderId="0" xfId="0" applyFont="1" applyAlignment="1">
      <alignment vertical="center" wrapText="1"/>
    </xf>
    <xf numFmtId="164" fontId="0" fillId="6" borderId="0" xfId="0" applyNumberFormat="1" applyFill="1"/>
    <xf numFmtId="9" fontId="14" fillId="0" borderId="0" xfId="2" applyFont="1"/>
    <xf numFmtId="10" fontId="14" fillId="0" borderId="0" xfId="2" applyNumberFormat="1" applyFont="1"/>
    <xf numFmtId="165" fontId="13" fillId="0" borderId="0" xfId="0" applyNumberFormat="1" applyFont="1"/>
    <xf numFmtId="0" fontId="31" fillId="0" borderId="0" xfId="0" applyFont="1"/>
    <xf numFmtId="0" fontId="20" fillId="0" borderId="0" xfId="0" applyFont="1" applyAlignment="1">
      <alignment vertical="center" wrapText="1"/>
    </xf>
    <xf numFmtId="165" fontId="31" fillId="2" borderId="0" xfId="1" applyNumberFormat="1" applyFont="1" applyFill="1" applyBorder="1" applyAlignment="1">
      <alignment horizontal="right" vertical="center" wrapText="1"/>
    </xf>
    <xf numFmtId="0" fontId="20" fillId="2" borderId="0" xfId="0" applyFont="1" applyFill="1" applyAlignment="1">
      <alignment vertical="center" wrapText="1"/>
    </xf>
    <xf numFmtId="0" fontId="32" fillId="0" borderId="0" xfId="0" applyFont="1"/>
    <xf numFmtId="0" fontId="30" fillId="0" borderId="0" xfId="0" applyFont="1"/>
    <xf numFmtId="0" fontId="17" fillId="2" borderId="0" xfId="0" applyFont="1" applyFill="1" applyAlignment="1">
      <alignment horizontal="center" vertical="center" wrapText="1"/>
    </xf>
    <xf numFmtId="167" fontId="4" fillId="0" borderId="0" xfId="2" applyNumberFormat="1" applyFont="1"/>
    <xf numFmtId="10" fontId="4" fillId="0" borderId="0" xfId="2" applyNumberFormat="1" applyFont="1"/>
    <xf numFmtId="10" fontId="0" fillId="0" borderId="0" xfId="2" applyNumberFormat="1" applyFont="1"/>
    <xf numFmtId="0" fontId="17" fillId="9" borderId="6" xfId="0" applyFont="1" applyFill="1" applyBorder="1"/>
    <xf numFmtId="165" fontId="17" fillId="9" borderId="6" xfId="1" applyNumberFormat="1" applyFont="1" applyFill="1" applyBorder="1"/>
    <xf numFmtId="0" fontId="18" fillId="0" borderId="6" xfId="0" applyFont="1" applyBorder="1"/>
    <xf numFmtId="0" fontId="17" fillId="0" borderId="6" xfId="0" applyFont="1" applyBorder="1"/>
    <xf numFmtId="9" fontId="33" fillId="0" borderId="6" xfId="2" applyFont="1" applyBorder="1"/>
    <xf numFmtId="9" fontId="34" fillId="0" borderId="0" xfId="2" applyFont="1"/>
    <xf numFmtId="9" fontId="33" fillId="0" borderId="0" xfId="2" applyFont="1"/>
    <xf numFmtId="0" fontId="33" fillId="0" borderId="6" xfId="0" applyFont="1" applyBorder="1"/>
    <xf numFmtId="0" fontId="33" fillId="0" borderId="0" xfId="0" applyFont="1"/>
    <xf numFmtId="0" fontId="20" fillId="0" borderId="0" xfId="0" applyFont="1" applyAlignment="1">
      <alignment wrapText="1"/>
    </xf>
    <xf numFmtId="0" fontId="35" fillId="0" borderId="0" xfId="0" applyFont="1"/>
    <xf numFmtId="0" fontId="1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9" borderId="6" xfId="0" applyFont="1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166" fontId="4" fillId="0" borderId="0" xfId="0" applyNumberFormat="1" applyFont="1"/>
    <xf numFmtId="166" fontId="11" fillId="2" borderId="0" xfId="1" applyNumberFormat="1" applyFont="1" applyFill="1"/>
    <xf numFmtId="166" fontId="4" fillId="0" borderId="0" xfId="2" applyNumberFormat="1" applyFont="1" applyFill="1"/>
    <xf numFmtId="13" fontId="5" fillId="3" borderId="0" xfId="0" applyNumberFormat="1" applyFont="1" applyFill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9" fontId="36" fillId="0" borderId="0" xfId="0" applyNumberFormat="1" applyFont="1" applyAlignment="1">
      <alignment horizontal="right" vertical="center" wrapText="1"/>
    </xf>
    <xf numFmtId="9" fontId="24" fillId="0" borderId="0" xfId="2" applyFont="1" applyFill="1" applyBorder="1" applyAlignment="1">
      <alignment horizontal="center" vertical="top"/>
    </xf>
    <xf numFmtId="164" fontId="4" fillId="0" borderId="0" xfId="1" applyFont="1" applyBorder="1"/>
    <xf numFmtId="43" fontId="4" fillId="0" borderId="0" xfId="1" applyNumberFormat="1" applyFont="1" applyBorder="1"/>
    <xf numFmtId="164" fontId="4" fillId="0" borderId="0" xfId="1" applyFont="1" applyFill="1"/>
    <xf numFmtId="43" fontId="4" fillId="0" borderId="0" xfId="1" applyNumberFormat="1" applyFont="1" applyFill="1"/>
    <xf numFmtId="0" fontId="26" fillId="0" borderId="0" xfId="3" applyFont="1" applyAlignment="1">
      <alignment horizontal="left" vertical="top"/>
    </xf>
    <xf numFmtId="164" fontId="4" fillId="0" borderId="0" xfId="1" applyFont="1" applyFill="1" applyBorder="1"/>
    <xf numFmtId="49" fontId="5" fillId="3" borderId="0" xfId="0" applyNumberFormat="1" applyFont="1" applyFill="1"/>
    <xf numFmtId="49" fontId="5" fillId="3" borderId="0" xfId="1" applyNumberFormat="1" applyFont="1" applyFill="1"/>
    <xf numFmtId="43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0" fontId="17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center"/>
    </xf>
  </cellXfs>
  <cellStyles count="22">
    <cellStyle name="Comma" xfId="1" builtinId="3"/>
    <cellStyle name="Comma 2" xfId="7" xr:uid="{9C697794-2192-4AB3-8FE4-7A1A1D8FB9AB}"/>
    <cellStyle name="Comma 2 2 2" xfId="11" xr:uid="{9D472043-5D80-4C8E-BD4C-C6427CCBDCB2}"/>
    <cellStyle name="Comma 3" xfId="16" xr:uid="{5F573308-E1F7-43A9-9FE4-A729C908A334}"/>
    <cellStyle name="Comma 4" xfId="19" xr:uid="{D15747A6-4BE1-4B07-8B2F-15A4C6038921}"/>
    <cellStyle name="Comma 9 4" xfId="13" xr:uid="{25E1E902-0E62-4676-B2D6-B1946F1845F7}"/>
    <cellStyle name="Normal" xfId="0" builtinId="0"/>
    <cellStyle name="Normal 15" xfId="5" xr:uid="{9CC20D76-C8C7-4F3C-A83A-61B8E0504D2C}"/>
    <cellStyle name="Normal 2" xfId="6" xr:uid="{61104718-9AE2-4C95-B545-33C67727380A}"/>
    <cellStyle name="Normal 2 2" xfId="9" xr:uid="{117F4648-E6ED-489C-B362-A09544B4D66B}"/>
    <cellStyle name="Normal 2 3 2" xfId="21" xr:uid="{47780E46-AEC5-4F65-BA5D-B122D4F58545}"/>
    <cellStyle name="Normal 253" xfId="3" xr:uid="{2F15D741-0E76-4749-950B-6BA0AC7EBB8D}"/>
    <cellStyle name="Normal 3" xfId="14" xr:uid="{D0B5FEB8-FC6B-4D15-AA26-B13B7987C0BE}"/>
    <cellStyle name="Normal 4" xfId="18" xr:uid="{BBB5FDFB-7D03-487A-9832-6BDB6B8AA385}"/>
    <cellStyle name="Normal 6" xfId="10" xr:uid="{F87A2625-8554-447A-AD65-4178F5D0123C}"/>
    <cellStyle name="Normal 9 4" xfId="12" xr:uid="{9CEF726D-B86F-495C-A494-1ED812B0C58C}"/>
    <cellStyle name="Percent" xfId="2" builtinId="5"/>
    <cellStyle name="Percent 2" xfId="4" xr:uid="{C3D4BB7B-E7AC-4277-99F5-A9F2E716EB6F}"/>
    <cellStyle name="Percent 3" xfId="8" xr:uid="{0B055068-2D7B-4499-91E3-2C52424D5C86}"/>
    <cellStyle name="Percent 4" xfId="17" xr:uid="{1BCFC6CB-DF64-4603-B27B-8AA5F0E2C789}"/>
    <cellStyle name="Percent 5" xfId="20" xr:uid="{D79FD6E6-E657-4D0A-BB2C-9A84E38B4FAB}"/>
    <cellStyle name="Percent 5 3" xfId="15" xr:uid="{70B6704C-4163-4DFF-94F8-1772746A7F70}"/>
  </cellStyles>
  <dxfs count="0"/>
  <tableStyles count="0" defaultTableStyle="TableStyleMedium2" defaultPivotStyle="PivotStyleLight16"/>
  <colors>
    <mruColors>
      <color rgb="FF000066"/>
      <color rgb="FF0000CC"/>
      <color rgb="FFCC00CC"/>
      <color rgb="FF008000"/>
      <color rgb="FFFF9999"/>
      <color rgb="FFFF505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Ratios!$H$21</c:f>
              <c:strCache>
                <c:ptCount val="1"/>
                <c:pt idx="0">
                  <c:v>NAV Per Share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264779429677637E-2"/>
                  <c:y val="4.6528276185985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82-EA4E-8178-990B319DB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Ratios!$I$20:$L$20</c:f>
              <c:strCache>
                <c:ptCount val="4"/>
                <c:pt idx="0">
                  <c:v>2079/80</c:v>
                </c:pt>
                <c:pt idx="1">
                  <c:v>2079/80</c:v>
                </c:pt>
                <c:pt idx="2">
                  <c:v>2080/81</c:v>
                </c:pt>
                <c:pt idx="3">
                  <c:v>2081/82</c:v>
                </c:pt>
              </c:strCache>
            </c:strRef>
          </c:cat>
          <c:val>
            <c:numRef>
              <c:f>Ratios!$I$21:$L$21</c:f>
              <c:numCache>
                <c:formatCode>0.0</c:formatCode>
                <c:ptCount val="4"/>
                <c:pt idx="0">
                  <c:v>92.466661666666667</c:v>
                </c:pt>
                <c:pt idx="1">
                  <c:v>94.007058536585362</c:v>
                </c:pt>
                <c:pt idx="2">
                  <c:v>97.681664604873404</c:v>
                </c:pt>
                <c:pt idx="3">
                  <c:v>108.62882443735742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2-EA4E-8178-990B319DB109}"/>
            </c:ext>
          </c:extLst>
        </c:ser>
        <c:ser>
          <c:idx val="1"/>
          <c:order val="1"/>
          <c:tx>
            <c:strRef>
              <c:f>Ratios!$H$22</c:f>
              <c:strCache>
                <c:ptCount val="1"/>
                <c:pt idx="0">
                  <c:v>Earning Per Share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Ratios!$I$20:$L$20</c:f>
              <c:strCache>
                <c:ptCount val="4"/>
                <c:pt idx="0">
                  <c:v>2079/80</c:v>
                </c:pt>
                <c:pt idx="1">
                  <c:v>2079/80</c:v>
                </c:pt>
                <c:pt idx="2">
                  <c:v>2080/81</c:v>
                </c:pt>
                <c:pt idx="3">
                  <c:v>2081/82</c:v>
                </c:pt>
              </c:strCache>
            </c:strRef>
          </c:cat>
          <c:val>
            <c:numRef>
              <c:f>Ratios!$I$22:$L$22</c:f>
              <c:numCache>
                <c:formatCode>0.0</c:formatCode>
                <c:ptCount val="4"/>
                <c:pt idx="0">
                  <c:v>-7.5041725000000001</c:v>
                </c:pt>
                <c:pt idx="1">
                  <c:v>-2.3181418699186991</c:v>
                </c:pt>
                <c:pt idx="2">
                  <c:v>1.8646343816322593</c:v>
                </c:pt>
                <c:pt idx="3">
                  <c:v>10.947159265017989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2-EA4E-8178-990B319DB1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1667136"/>
        <c:axId val="1541613856"/>
      </c:lineChart>
      <c:catAx>
        <c:axId val="15416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13856"/>
        <c:crosses val="autoZero"/>
        <c:auto val="1"/>
        <c:lblAlgn val="ctr"/>
        <c:lblOffset val="100"/>
        <c:noMultiLvlLbl val="0"/>
      </c:catAx>
      <c:valAx>
        <c:axId val="15416138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671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1679102</xdr:colOff>
      <xdr:row>1</xdr:row>
      <xdr:rowOff>99907</xdr:rowOff>
    </xdr:from>
    <xdr:to>
      <xdr:col>13</xdr:col>
      <xdr:colOff>248887</xdr:colOff>
      <xdr:row>19</xdr:row>
      <xdr:rowOff>10030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98CCE9-EFDC-36AB-CCCF-C52424549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lenovo/Downloads/AlphaSigma076_7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cer%20Aspire/Downloads/Financial%20Projection_Le%20Glamour_Final1%20-%202025.06.13-%20final.xlsx" TargetMode="External"/><Relationship Id="rId1" Type="http://schemas.openxmlformats.org/officeDocument/2006/relationships/externalLinkPath" Target="file:///C:/Users/acer%20Aspire/Downloads/Financial%20Projection_Le%20Glamour_Final1%20-%202025.06.13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P"/>
      <sheetName val="SPL"/>
      <sheetName val="CFS"/>
      <sheetName val="Equity"/>
      <sheetName val="Sch.SoFP"/>
      <sheetName val="Sch.SPL"/>
      <sheetName val="PPE"/>
      <sheetName val="payroll 76-77"/>
      <sheetName val="Tax Calc"/>
      <sheetName val="Statement of Taxes Payable"/>
      <sheetName val="TDS"/>
      <sheetName val="TB76_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ayment Schedule"/>
      <sheetName val="DCF Valuation"/>
      <sheetName val="Queries"/>
      <sheetName val="Loan OS 8081"/>
      <sheetName val="Sheet5"/>
      <sheetName val="HP Loan"/>
      <sheetName val="Repayment Summary"/>
      <sheetName val="Project  Cost detail"/>
      <sheetName val="Loan Financing"/>
      <sheetName val="SOFP"/>
      <sheetName val="SOPL"/>
      <sheetName val="BEP"/>
      <sheetName val="CFS"/>
      <sheetName val="SOCE"/>
      <sheetName val="Schedule SOFP"/>
      <sheetName val="Schedules SOPL"/>
      <sheetName val="Ratio Analysis"/>
      <sheetName val="Ratios"/>
      <sheetName val="Ratios1"/>
      <sheetName val="Assets Addition"/>
      <sheetName val="Salary"/>
      <sheetName val="Graph"/>
      <sheetName val="Number of tourist graph"/>
      <sheetName val="Human Resource"/>
      <sheetName val="Ratio Comparison Sheet"/>
      <sheetName val="Previously Calculated Ratios"/>
      <sheetName val="Sheet3"/>
      <sheetName val="Sensitivity Analysis"/>
      <sheetName val="Sheet4"/>
      <sheetName val="NPV"/>
      <sheetName val="Sheet2"/>
      <sheetName val="Sheet1"/>
      <sheetName val="Sensitivity working"/>
      <sheetName val="Sheet7"/>
      <sheetName val="Financing"/>
      <sheetName val="capitalization"/>
      <sheetName val="BOQ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3">
          <cell r="D23">
            <v>15734388.543331452</v>
          </cell>
        </row>
      </sheetData>
      <sheetData sheetId="10">
        <row r="8">
          <cell r="E8" t="str">
            <v>2082-83</v>
          </cell>
          <cell r="F8" t="str">
            <v>2083-84</v>
          </cell>
          <cell r="G8" t="str">
            <v>2084-85</v>
          </cell>
          <cell r="H8" t="str">
            <v>2085-86</v>
          </cell>
          <cell r="I8" t="str">
            <v>2086-87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04F8-A5A1-4C71-AC93-EB533CD0F2D0}">
  <dimension ref="B2:E8"/>
  <sheetViews>
    <sheetView showGridLines="0" workbookViewId="0">
      <selection activeCell="B2" sqref="B2"/>
    </sheetView>
  </sheetViews>
  <sheetFormatPr baseColWidth="10" defaultColWidth="8.6640625" defaultRowHeight="13" x14ac:dyDescent="0.15"/>
  <cols>
    <col min="1" max="1" width="8.6640625" style="1"/>
    <col min="2" max="2" width="42.33203125" style="1" bestFit="1" customWidth="1"/>
    <col min="3" max="3" width="7.5" style="1" bestFit="1" customWidth="1"/>
    <col min="4" max="4" width="6.6640625" style="1" bestFit="1" customWidth="1"/>
    <col min="5" max="5" width="14.1640625" style="1" bestFit="1" customWidth="1"/>
    <col min="6" max="16384" width="8.6640625" style="1"/>
  </cols>
  <sheetData>
    <row r="2" spans="2:5" x14ac:dyDescent="0.15">
      <c r="B2" s="175" t="str">
        <f>'DCF Value'!B2</f>
        <v>Simple Energy Private Limited</v>
      </c>
    </row>
    <row r="4" spans="2:5" s="5" customFormat="1" x14ac:dyDescent="0.15">
      <c r="B4" s="22" t="s">
        <v>1</v>
      </c>
      <c r="C4" s="22" t="s">
        <v>99</v>
      </c>
      <c r="D4" s="22" t="s">
        <v>100</v>
      </c>
      <c r="E4" s="22" t="s">
        <v>101</v>
      </c>
    </row>
    <row r="5" spans="2:5" x14ac:dyDescent="0.15">
      <c r="B5" s="1" t="s">
        <v>102</v>
      </c>
      <c r="C5" s="4" t="e">
        <f>'DCF Value'!C40</f>
        <v>#REF!</v>
      </c>
      <c r="D5" s="25">
        <v>0</v>
      </c>
      <c r="E5" s="4" t="e">
        <f>C5*D5</f>
        <v>#REF!</v>
      </c>
    </row>
    <row r="6" spans="2:5" x14ac:dyDescent="0.15">
      <c r="B6" s="1" t="s">
        <v>103</v>
      </c>
      <c r="C6" s="21" t="e">
        <f>#REF!</f>
        <v>#REF!</v>
      </c>
      <c r="D6" s="25">
        <v>0.5</v>
      </c>
      <c r="E6" s="4" t="e">
        <f>C6*D6</f>
        <v>#REF!</v>
      </c>
    </row>
    <row r="7" spans="2:5" x14ac:dyDescent="0.15">
      <c r="B7" s="1" t="s">
        <v>69</v>
      </c>
      <c r="C7" s="21" t="e">
        <f>#REF!</f>
        <v>#REF!</v>
      </c>
      <c r="D7" s="25">
        <v>0.5</v>
      </c>
      <c r="E7" s="4" t="e">
        <f t="shared" ref="E7" si="0">C7*D7</f>
        <v>#REF!</v>
      </c>
    </row>
    <row r="8" spans="2:5" s="5" customFormat="1" x14ac:dyDescent="0.15">
      <c r="B8" s="6"/>
      <c r="C8" s="6"/>
      <c r="D8" s="6"/>
      <c r="E8" s="23" t="e">
        <f>SUM(E5:E7)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E4C8-9AAB-4680-8F78-2F96504BE8E5}">
  <dimension ref="B2:G40"/>
  <sheetViews>
    <sheetView showGridLines="0" workbookViewId="0">
      <selection activeCell="D17" sqref="D17"/>
    </sheetView>
  </sheetViews>
  <sheetFormatPr baseColWidth="10" defaultColWidth="8.6640625" defaultRowHeight="13" x14ac:dyDescent="0.15"/>
  <cols>
    <col min="1" max="1" width="4.33203125" style="1" customWidth="1"/>
    <col min="2" max="2" width="46.6640625" style="1" bestFit="1" customWidth="1"/>
    <col min="3" max="3" width="14.6640625" style="12" bestFit="1" customWidth="1"/>
    <col min="4" max="7" width="13.1640625" style="12" bestFit="1" customWidth="1"/>
    <col min="8" max="16384" width="8.6640625" style="1"/>
  </cols>
  <sheetData>
    <row r="2" spans="2:7" x14ac:dyDescent="0.15">
      <c r="B2" s="28" t="str">
        <f>'Historical SOPL'!B2:F2</f>
        <v>Simple Energy Private Limited</v>
      </c>
    </row>
    <row r="3" spans="2:7" x14ac:dyDescent="0.15">
      <c r="B3" s="28" t="s">
        <v>72</v>
      </c>
    </row>
    <row r="5" spans="2:7" s="5" customFormat="1" x14ac:dyDescent="0.15">
      <c r="B5" s="26" t="s">
        <v>1</v>
      </c>
      <c r="C5" s="27" t="str">
        <f>[2]SOPL!E8</f>
        <v>2082-83</v>
      </c>
      <c r="D5" s="27" t="str">
        <f>[2]SOPL!F8</f>
        <v>2083-84</v>
      </c>
      <c r="E5" s="27" t="str">
        <f>[2]SOPL!G8</f>
        <v>2084-85</v>
      </c>
      <c r="F5" s="27" t="str">
        <f>[2]SOPL!H8</f>
        <v>2085-86</v>
      </c>
      <c r="G5" s="27" t="str">
        <f>[2]SOPL!I8</f>
        <v>2086-87</v>
      </c>
    </row>
    <row r="6" spans="2:7" x14ac:dyDescent="0.15">
      <c r="B6" s="1" t="s">
        <v>73</v>
      </c>
      <c r="C6" s="19" t="e">
        <f>#REF!</f>
        <v>#REF!</v>
      </c>
      <c r="D6" s="19" t="e">
        <f>#REF!</f>
        <v>#REF!</v>
      </c>
      <c r="E6" s="19" t="e">
        <f>#REF!</f>
        <v>#REF!</v>
      </c>
      <c r="F6" s="19" t="e">
        <f>#REF!</f>
        <v>#REF!</v>
      </c>
      <c r="G6" s="19" t="e">
        <f>#REF!</f>
        <v>#REF!</v>
      </c>
    </row>
    <row r="7" spans="2:7" x14ac:dyDescent="0.15">
      <c r="B7" s="1" t="s">
        <v>98</v>
      </c>
      <c r="C7" s="19" t="e">
        <f>#REF!*(1-18%)</f>
        <v>#REF!</v>
      </c>
      <c r="D7" s="19" t="e">
        <f>#REF!*(1-18%)</f>
        <v>#REF!</v>
      </c>
      <c r="E7" s="19" t="e">
        <f>#REF!*(1-18%)</f>
        <v>#REF!</v>
      </c>
      <c r="F7" s="19" t="e">
        <f>#REF!*(1-18%)</f>
        <v>#REF!</v>
      </c>
      <c r="G7" s="19" t="e">
        <f>#REF!*(1-18%)</f>
        <v>#REF!</v>
      </c>
    </row>
    <row r="8" spans="2:7" x14ac:dyDescent="0.15">
      <c r="B8" s="1" t="s">
        <v>35</v>
      </c>
      <c r="C8" s="19" t="e">
        <f>#REF!</f>
        <v>#REF!</v>
      </c>
      <c r="D8" s="19" t="e">
        <f>#REF!</f>
        <v>#REF!</v>
      </c>
      <c r="E8" s="19" t="e">
        <f>#REF!</f>
        <v>#REF!</v>
      </c>
      <c r="F8" s="19" t="e">
        <f>#REF!</f>
        <v>#REF!</v>
      </c>
      <c r="G8" s="19" t="e">
        <f>#REF!</f>
        <v>#REF!</v>
      </c>
    </row>
    <row r="9" spans="2:7" x14ac:dyDescent="0.15">
      <c r="B9" s="1" t="s">
        <v>74</v>
      </c>
      <c r="C9" s="19" t="e">
        <f>#REF!</f>
        <v>#REF!</v>
      </c>
      <c r="D9" s="19" t="e">
        <f>#REF!</f>
        <v>#REF!</v>
      </c>
      <c r="E9" s="19" t="e">
        <f>#REF!</f>
        <v>#REF!</v>
      </c>
      <c r="F9" s="19" t="e">
        <f>#REF!</f>
        <v>#REF!</v>
      </c>
      <c r="G9" s="19" t="e">
        <f>#REF!</f>
        <v>#REF!</v>
      </c>
    </row>
    <row r="10" spans="2:7" x14ac:dyDescent="0.15">
      <c r="B10" s="1" t="s">
        <v>75</v>
      </c>
      <c r="C10" s="19" t="e">
        <f>(#REF!-#REF!)-(#REF!-#REF!)</f>
        <v>#REF!</v>
      </c>
      <c r="D10" s="19" t="e">
        <f>(#REF!-#REF!)-(#REF!-#REF!)</f>
        <v>#REF!</v>
      </c>
      <c r="E10" s="19" t="e">
        <f>(#REF!-#REF!)-(#REF!-#REF!)</f>
        <v>#REF!</v>
      </c>
      <c r="F10" s="19" t="e">
        <f>(#REF!-#REF!)-(#REF!-#REF!)</f>
        <v>#REF!</v>
      </c>
      <c r="G10" s="19" t="e">
        <f>(#REF!-#REF!)-(#REF!-#REF!)</f>
        <v>#REF!</v>
      </c>
    </row>
    <row r="11" spans="2:7" s="5" customFormat="1" x14ac:dyDescent="0.15">
      <c r="B11" s="6" t="s">
        <v>76</v>
      </c>
      <c r="C11" s="13" t="e">
        <f>SUM(C6:C10)</f>
        <v>#REF!</v>
      </c>
      <c r="D11" s="13" t="e">
        <f t="shared" ref="D11:G11" si="0">SUM(D6:D10)</f>
        <v>#REF!</v>
      </c>
      <c r="E11" s="13" t="e">
        <f t="shared" si="0"/>
        <v>#REF!</v>
      </c>
      <c r="F11" s="13" t="e">
        <f t="shared" si="0"/>
        <v>#REF!</v>
      </c>
      <c r="G11" s="13" t="e">
        <f t="shared" si="0"/>
        <v>#REF!</v>
      </c>
    </row>
    <row r="13" spans="2:7" x14ac:dyDescent="0.15">
      <c r="B13" s="1" t="s">
        <v>77</v>
      </c>
      <c r="C13" s="11">
        <v>1</v>
      </c>
      <c r="D13" s="11">
        <f>C13+1</f>
        <v>2</v>
      </c>
      <c r="E13" s="11">
        <f t="shared" ref="E13:G13" si="1">D13+1</f>
        <v>3</v>
      </c>
      <c r="F13" s="11">
        <f t="shared" si="1"/>
        <v>4</v>
      </c>
      <c r="G13" s="11">
        <f t="shared" si="1"/>
        <v>5</v>
      </c>
    </row>
    <row r="14" spans="2:7" x14ac:dyDescent="0.15">
      <c r="B14" s="1" t="s">
        <v>70</v>
      </c>
      <c r="C14" s="18">
        <f>C22</f>
        <v>0.13</v>
      </c>
      <c r="D14" s="14">
        <f>C14</f>
        <v>0.13</v>
      </c>
      <c r="E14" s="14">
        <f t="shared" ref="E14:G14" si="2">D14</f>
        <v>0.13</v>
      </c>
      <c r="F14" s="14">
        <f t="shared" si="2"/>
        <v>0.13</v>
      </c>
      <c r="G14" s="14">
        <f t="shared" si="2"/>
        <v>0.13</v>
      </c>
    </row>
    <row r="15" spans="2:7" x14ac:dyDescent="0.15">
      <c r="B15" s="1" t="s">
        <v>78</v>
      </c>
      <c r="C15" s="11">
        <f>1/(1+C14)^C13</f>
        <v>0.88495575221238942</v>
      </c>
      <c r="D15" s="11">
        <f t="shared" ref="D15:G15" si="3">1/(1+D14)^D13</f>
        <v>0.78314668337379612</v>
      </c>
      <c r="E15" s="11">
        <f t="shared" si="3"/>
        <v>0.69305016227769578</v>
      </c>
      <c r="F15" s="11">
        <f t="shared" si="3"/>
        <v>0.61331872767937679</v>
      </c>
      <c r="G15" s="11">
        <f t="shared" si="3"/>
        <v>0.54275993599944861</v>
      </c>
    </row>
    <row r="16" spans="2:7" s="5" customFormat="1" x14ac:dyDescent="0.15">
      <c r="B16" s="6" t="s">
        <v>79</v>
      </c>
      <c r="C16" s="13" t="e">
        <f>C11*C15</f>
        <v>#REF!</v>
      </c>
      <c r="D16" s="13" t="e">
        <f t="shared" ref="D16:G16" si="4">D11*D15</f>
        <v>#REF!</v>
      </c>
      <c r="E16" s="13" t="e">
        <f t="shared" si="4"/>
        <v>#REF!</v>
      </c>
      <c r="F16" s="13" t="e">
        <f t="shared" si="4"/>
        <v>#REF!</v>
      </c>
      <c r="G16" s="13" t="e">
        <f t="shared" si="4"/>
        <v>#REF!</v>
      </c>
    </row>
    <row r="17" spans="2:7" s="5" customFormat="1" x14ac:dyDescent="0.15">
      <c r="C17" s="20"/>
      <c r="D17" s="20"/>
      <c r="E17" s="20"/>
      <c r="F17" s="20"/>
      <c r="G17" s="20"/>
    </row>
    <row r="19" spans="2:7" s="5" customFormat="1" x14ac:dyDescent="0.15">
      <c r="B19" s="15" t="s">
        <v>80</v>
      </c>
      <c r="C19" s="16"/>
      <c r="D19" s="17"/>
      <c r="E19" s="17"/>
      <c r="F19" s="17"/>
      <c r="G19" s="17"/>
    </row>
    <row r="21" spans="2:7" s="5" customFormat="1" x14ac:dyDescent="0.15">
      <c r="B21" s="5" t="s">
        <v>81</v>
      </c>
      <c r="C21" s="17" t="e">
        <f>G11</f>
        <v>#REF!</v>
      </c>
      <c r="D21" s="17"/>
      <c r="E21" s="17"/>
      <c r="F21" s="17"/>
      <c r="G21" s="17"/>
    </row>
    <row r="22" spans="2:7" x14ac:dyDescent="0.15">
      <c r="B22" s="1" t="s">
        <v>82</v>
      </c>
      <c r="C22" s="24">
        <v>0.13</v>
      </c>
    </row>
    <row r="23" spans="2:7" x14ac:dyDescent="0.15">
      <c r="B23" s="1" t="s">
        <v>83</v>
      </c>
      <c r="C23" s="18">
        <v>0.03</v>
      </c>
    </row>
    <row r="25" spans="2:7" s="5" customFormat="1" x14ac:dyDescent="0.15">
      <c r="B25" s="5" t="s">
        <v>84</v>
      </c>
      <c r="C25" s="17" t="e">
        <f>(C21*(1+C23))/(C22-C23)</f>
        <v>#REF!</v>
      </c>
      <c r="D25" s="17"/>
      <c r="E25" s="17"/>
      <c r="F25" s="17"/>
      <c r="G25" s="17"/>
    </row>
    <row r="27" spans="2:7" x14ac:dyDescent="0.15">
      <c r="B27" s="1" t="s">
        <v>85</v>
      </c>
      <c r="C27" s="12" t="e">
        <f>C25*G15</f>
        <v>#REF!</v>
      </c>
      <c r="D27" s="14"/>
    </row>
    <row r="28" spans="2:7" x14ac:dyDescent="0.15">
      <c r="B28" s="1" t="s">
        <v>86</v>
      </c>
      <c r="C28" s="12" t="e">
        <f>SUM(C16:G16)</f>
        <v>#REF!</v>
      </c>
    </row>
    <row r="29" spans="2:7" s="5" customFormat="1" x14ac:dyDescent="0.15">
      <c r="B29" s="6" t="s">
        <v>87</v>
      </c>
      <c r="C29" s="13" t="e">
        <f>(C27+C28)</f>
        <v>#REF!</v>
      </c>
      <c r="D29" s="17"/>
      <c r="E29" s="17"/>
      <c r="F29" s="17"/>
      <c r="G29" s="17"/>
    </row>
    <row r="31" spans="2:7" x14ac:dyDescent="0.15">
      <c r="B31" s="1" t="s">
        <v>88</v>
      </c>
      <c r="C31" s="19">
        <v>1750000000</v>
      </c>
    </row>
    <row r="32" spans="2:7" x14ac:dyDescent="0.15">
      <c r="B32" s="1" t="s">
        <v>89</v>
      </c>
      <c r="C32" s="19" t="e">
        <f>#REF!</f>
        <v>#REF!</v>
      </c>
    </row>
    <row r="33" spans="2:7" x14ac:dyDescent="0.15">
      <c r="B33" s="1" t="s">
        <v>90</v>
      </c>
      <c r="C33" s="19" t="e">
        <f>-#REF!</f>
        <v>#REF!</v>
      </c>
    </row>
    <row r="34" spans="2:7" x14ac:dyDescent="0.15">
      <c r="B34" s="1" t="s">
        <v>91</v>
      </c>
      <c r="C34" s="12" t="e">
        <f>SUM(C31:C33)</f>
        <v>#REF!</v>
      </c>
    </row>
    <row r="35" spans="2:7" x14ac:dyDescent="0.15">
      <c r="B35" s="1" t="s">
        <v>92</v>
      </c>
      <c r="C35" s="12">
        <v>0</v>
      </c>
    </row>
    <row r="36" spans="2:7" s="5" customFormat="1" x14ac:dyDescent="0.15">
      <c r="B36" s="6" t="s">
        <v>93</v>
      </c>
      <c r="C36" s="13" t="e">
        <f>C29-C34</f>
        <v>#REF!</v>
      </c>
      <c r="D36" s="17"/>
      <c r="E36" s="17"/>
      <c r="F36" s="17"/>
      <c r="G36" s="17"/>
    </row>
    <row r="37" spans="2:7" x14ac:dyDescent="0.15">
      <c r="B37" s="1" t="s">
        <v>94</v>
      </c>
      <c r="C37" s="19">
        <v>600000000</v>
      </c>
    </row>
    <row r="38" spans="2:7" x14ac:dyDescent="0.15">
      <c r="B38" s="1" t="s">
        <v>95</v>
      </c>
      <c r="C38" s="12" t="e">
        <f>C36-C37</f>
        <v>#REF!</v>
      </c>
    </row>
    <row r="39" spans="2:7" x14ac:dyDescent="0.15">
      <c r="B39" s="1" t="s">
        <v>96</v>
      </c>
      <c r="C39" s="19" t="e">
        <f>(#REF!+#REF!)/100</f>
        <v>#REF!</v>
      </c>
    </row>
    <row r="40" spans="2:7" s="5" customFormat="1" x14ac:dyDescent="0.15">
      <c r="B40" s="29" t="s">
        <v>97</v>
      </c>
      <c r="C40" s="30" t="e">
        <f>C38/C39</f>
        <v>#REF!</v>
      </c>
      <c r="D40" s="17"/>
      <c r="E40" s="17"/>
      <c r="F40" s="17"/>
      <c r="G4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3A46-58D8-469B-8F2F-36FF5879D585}">
  <dimension ref="B2:M30"/>
  <sheetViews>
    <sheetView showGridLines="0" topLeftCell="E4" workbookViewId="0">
      <selection activeCell="K28" sqref="G27:K28"/>
    </sheetView>
  </sheetViews>
  <sheetFormatPr baseColWidth="10" defaultColWidth="8.6640625" defaultRowHeight="13" x14ac:dyDescent="0.15"/>
  <cols>
    <col min="1" max="1" width="8.6640625" style="1"/>
    <col min="2" max="2" width="30.1640625" style="38" customWidth="1"/>
    <col min="3" max="3" width="14.33203125" style="38" bestFit="1" customWidth="1"/>
    <col min="4" max="4" width="14.33203125" style="33" bestFit="1" customWidth="1"/>
    <col min="5" max="5" width="13.5" style="33" bestFit="1" customWidth="1"/>
    <col min="6" max="6" width="14.83203125" style="33" bestFit="1" customWidth="1"/>
    <col min="7" max="7" width="10.1640625" style="1" bestFit="1" customWidth="1"/>
    <col min="8" max="8" width="16.5" style="1" bestFit="1" customWidth="1"/>
    <col min="9" max="9" width="15.5" style="11" bestFit="1" customWidth="1"/>
    <col min="10" max="10" width="15.5" style="11" customWidth="1"/>
    <col min="11" max="11" width="14.5" style="11" bestFit="1" customWidth="1"/>
    <col min="12" max="12" width="13.33203125" style="1" bestFit="1" customWidth="1"/>
    <col min="13" max="16384" width="8.6640625" style="1"/>
  </cols>
  <sheetData>
    <row r="2" spans="2:13" x14ac:dyDescent="0.15">
      <c r="B2" s="197" t="str">
        <f>'Historical SOFP'!B1:F1</f>
        <v>Simple Energy Private Limited</v>
      </c>
      <c r="C2" s="197"/>
      <c r="D2" s="197"/>
      <c r="E2" s="197"/>
      <c r="F2" s="197"/>
    </row>
    <row r="3" spans="2:13" x14ac:dyDescent="0.15">
      <c r="B3" s="197" t="s">
        <v>46</v>
      </c>
      <c r="C3" s="197"/>
      <c r="D3" s="197"/>
      <c r="E3" s="197"/>
      <c r="F3" s="197"/>
      <c r="H3" s="80" t="s">
        <v>215</v>
      </c>
      <c r="I3" s="5" t="s">
        <v>4</v>
      </c>
      <c r="J3" s="5" t="s">
        <v>5</v>
      </c>
      <c r="K3" s="75"/>
      <c r="L3" s="5"/>
      <c r="M3" s="5"/>
    </row>
    <row r="4" spans="2:13" x14ac:dyDescent="0.15">
      <c r="H4" s="1" t="s">
        <v>227</v>
      </c>
      <c r="I4" s="11">
        <v>27287025</v>
      </c>
      <c r="J4" s="11">
        <v>37420261</v>
      </c>
      <c r="L4" s="31"/>
      <c r="M4" s="14"/>
    </row>
    <row r="5" spans="2:13" x14ac:dyDescent="0.15">
      <c r="B5" s="39" t="s">
        <v>1</v>
      </c>
      <c r="C5" s="39" t="s">
        <v>2</v>
      </c>
      <c r="D5" s="32" t="s">
        <v>2</v>
      </c>
      <c r="E5" s="32" t="s">
        <v>2</v>
      </c>
      <c r="F5" s="32" t="s">
        <v>45</v>
      </c>
      <c r="H5" s="1" t="s">
        <v>228</v>
      </c>
      <c r="J5" s="11">
        <v>86541615</v>
      </c>
      <c r="L5" s="4"/>
      <c r="M5" s="14"/>
    </row>
    <row r="6" spans="2:13" x14ac:dyDescent="0.15">
      <c r="B6" s="39"/>
      <c r="C6" s="184">
        <v>26.303797468354432</v>
      </c>
      <c r="D6" s="32" t="s">
        <v>42</v>
      </c>
      <c r="E6" s="32" t="s">
        <v>4</v>
      </c>
      <c r="F6" s="32" t="s">
        <v>5</v>
      </c>
      <c r="H6" s="1" t="s">
        <v>229</v>
      </c>
      <c r="J6" s="11">
        <v>280000</v>
      </c>
    </row>
    <row r="7" spans="2:13" x14ac:dyDescent="0.15">
      <c r="B7" s="38" t="s">
        <v>30</v>
      </c>
      <c r="C7" s="181">
        <v>0</v>
      </c>
      <c r="D7" s="12">
        <v>10468343</v>
      </c>
      <c r="E7" s="12">
        <v>27287025</v>
      </c>
      <c r="F7" s="12">
        <v>124241876</v>
      </c>
      <c r="G7" s="4"/>
      <c r="H7" s="5" t="s">
        <v>8</v>
      </c>
      <c r="I7" s="75">
        <f>SUM(I4:I6)</f>
        <v>27287025</v>
      </c>
      <c r="J7" s="75">
        <v>124241876</v>
      </c>
      <c r="K7" s="75"/>
      <c r="L7" s="76"/>
    </row>
    <row r="8" spans="2:13" x14ac:dyDescent="0.15">
      <c r="B8" s="38" t="s">
        <v>110</v>
      </c>
      <c r="C8" s="181">
        <v>0</v>
      </c>
      <c r="D8" s="12">
        <v>1136455</v>
      </c>
      <c r="E8" s="12">
        <v>0</v>
      </c>
      <c r="F8" s="12">
        <v>55998790</v>
      </c>
      <c r="G8" s="4"/>
    </row>
    <row r="9" spans="2:13" x14ac:dyDescent="0.15">
      <c r="B9" s="40" t="s">
        <v>31</v>
      </c>
      <c r="C9" s="182">
        <f>C7-C8</f>
        <v>0</v>
      </c>
      <c r="D9" s="182">
        <f>D7-D8</f>
        <v>9331888</v>
      </c>
      <c r="E9" s="182">
        <f>E7-E8</f>
        <v>27287025</v>
      </c>
      <c r="F9" s="182">
        <f>F7-F8</f>
        <v>68243086</v>
      </c>
      <c r="H9" s="80" t="s">
        <v>230</v>
      </c>
      <c r="I9" s="5" t="s">
        <v>4</v>
      </c>
      <c r="J9" s="5" t="s">
        <v>5</v>
      </c>
    </row>
    <row r="10" spans="2:13" x14ac:dyDescent="0.15">
      <c r="B10" s="38" t="s">
        <v>32</v>
      </c>
      <c r="C10" s="181">
        <v>3960895</v>
      </c>
      <c r="D10" s="12">
        <v>4348983</v>
      </c>
      <c r="E10" s="12">
        <v>7451383</v>
      </c>
      <c r="F10" s="12">
        <v>5896212</v>
      </c>
      <c r="H10" s="1" t="s">
        <v>227</v>
      </c>
      <c r="I10" s="11">
        <v>1700681</v>
      </c>
      <c r="J10" s="11">
        <v>2060597</v>
      </c>
      <c r="K10" s="163"/>
      <c r="L10" s="163"/>
    </row>
    <row r="11" spans="2:13" x14ac:dyDescent="0.15">
      <c r="B11" s="38" t="s">
        <v>111</v>
      </c>
      <c r="C11" s="181"/>
      <c r="D11" s="183"/>
      <c r="E11" s="183">
        <v>1700681</v>
      </c>
      <c r="F11" s="183">
        <v>2060597</v>
      </c>
      <c r="H11" s="1" t="s">
        <v>228</v>
      </c>
      <c r="J11" s="11">
        <v>55998790</v>
      </c>
      <c r="L11" s="162"/>
    </row>
    <row r="12" spans="2:13" x14ac:dyDescent="0.15">
      <c r="B12" s="38" t="s">
        <v>112</v>
      </c>
      <c r="C12" s="35"/>
      <c r="D12" s="35"/>
      <c r="E12" s="35">
        <v>549577</v>
      </c>
      <c r="F12" s="35">
        <v>4146110</v>
      </c>
      <c r="H12" s="1" t="s">
        <v>229</v>
      </c>
    </row>
    <row r="13" spans="2:13" x14ac:dyDescent="0.15">
      <c r="B13" s="38" t="s">
        <v>33</v>
      </c>
      <c r="C13" s="181">
        <v>8248205</v>
      </c>
      <c r="D13" s="12">
        <v>8566576</v>
      </c>
      <c r="E13" s="12">
        <v>1636739</v>
      </c>
      <c r="F13" s="12">
        <v>2985254</v>
      </c>
      <c r="H13" s="5" t="s">
        <v>8</v>
      </c>
      <c r="I13" s="75">
        <f>SUM(I10:I12)</f>
        <v>1700681</v>
      </c>
      <c r="J13" s="75">
        <f>SUM(J10:J12)</f>
        <v>58059387</v>
      </c>
    </row>
    <row r="14" spans="2:13" x14ac:dyDescent="0.15">
      <c r="B14" s="40" t="s">
        <v>44</v>
      </c>
      <c r="C14" s="182">
        <f t="shared" ref="C14:E14" si="0">C9+C10-SUM(C11:C13)</f>
        <v>-4287310</v>
      </c>
      <c r="D14" s="182">
        <f t="shared" si="0"/>
        <v>5114295</v>
      </c>
      <c r="E14" s="182">
        <f t="shared" si="0"/>
        <v>30851411</v>
      </c>
      <c r="F14" s="182">
        <f>F9+F10-SUM(F11:F13)</f>
        <v>64947337</v>
      </c>
    </row>
    <row r="15" spans="2:13" x14ac:dyDescent="0.15">
      <c r="B15" s="38" t="s">
        <v>34</v>
      </c>
      <c r="C15" s="181">
        <v>0</v>
      </c>
      <c r="D15" s="12">
        <v>0</v>
      </c>
      <c r="E15" s="12"/>
      <c r="F15" s="12">
        <v>0</v>
      </c>
      <c r="I15" s="81">
        <f>I10/I4</f>
        <v>6.2325629122265983E-2</v>
      </c>
      <c r="J15" s="81">
        <f>J10/J4</f>
        <v>5.5066344940779541E-2</v>
      </c>
    </row>
    <row r="16" spans="2:13" x14ac:dyDescent="0.15">
      <c r="B16" s="38" t="s">
        <v>35</v>
      </c>
      <c r="C16" s="181">
        <v>4717697</v>
      </c>
      <c r="D16" s="12">
        <v>10816924</v>
      </c>
      <c r="E16" s="12">
        <v>20354862</v>
      </c>
      <c r="F16" s="12">
        <v>26502367</v>
      </c>
    </row>
    <row r="17" spans="2:11" x14ac:dyDescent="0.15">
      <c r="B17" s="40" t="s">
        <v>36</v>
      </c>
      <c r="C17" s="182">
        <f t="shared" ref="C17:F17" si="1">C14-C15-C16</f>
        <v>-9005007</v>
      </c>
      <c r="D17" s="182">
        <f t="shared" si="1"/>
        <v>-5702629</v>
      </c>
      <c r="E17" s="182">
        <f t="shared" si="1"/>
        <v>10496549</v>
      </c>
      <c r="F17" s="182">
        <f t="shared" si="1"/>
        <v>38444970</v>
      </c>
    </row>
    <row r="18" spans="2:11" x14ac:dyDescent="0.15">
      <c r="B18" s="38" t="s">
        <v>37</v>
      </c>
      <c r="C18" s="181"/>
      <c r="D18" s="12"/>
      <c r="E18" s="12">
        <v>3924757</v>
      </c>
      <c r="F18" s="12">
        <v>6041958</v>
      </c>
    </row>
    <row r="19" spans="2:11" x14ac:dyDescent="0.15">
      <c r="B19" s="38" t="s">
        <v>38</v>
      </c>
      <c r="C19" s="181"/>
      <c r="D19" s="12">
        <v>0</v>
      </c>
      <c r="E19" s="12"/>
      <c r="F19" s="12">
        <v>6179594</v>
      </c>
    </row>
    <row r="20" spans="2:11" x14ac:dyDescent="0.15">
      <c r="B20" s="40" t="s">
        <v>39</v>
      </c>
      <c r="C20" s="182">
        <f t="shared" ref="C20:E20" si="2">C17-C18+C19</f>
        <v>-9005007</v>
      </c>
      <c r="D20" s="182">
        <f t="shared" si="2"/>
        <v>-5702629</v>
      </c>
      <c r="E20" s="182">
        <f t="shared" si="2"/>
        <v>6571792</v>
      </c>
      <c r="F20" s="182">
        <f>F17-F18+F19</f>
        <v>38582606</v>
      </c>
    </row>
    <row r="22" spans="2:11" x14ac:dyDescent="0.15">
      <c r="E22" s="162"/>
      <c r="F22" s="162"/>
    </row>
    <row r="23" spans="2:11" x14ac:dyDescent="0.15">
      <c r="E23" s="185"/>
      <c r="F23" s="186"/>
      <c r="G23" s="187"/>
    </row>
    <row r="24" spans="2:11" x14ac:dyDescent="0.15">
      <c r="E24" s="185"/>
      <c r="F24" s="186"/>
      <c r="G24" s="187"/>
      <c r="I24" s="191"/>
      <c r="J24" s="191"/>
    </row>
    <row r="25" spans="2:11" ht="14" x14ac:dyDescent="0.2">
      <c r="E25" s="192"/>
      <c r="F25" s="193"/>
      <c r="G25" s="194"/>
      <c r="H25" s="95"/>
      <c r="I25" s="95"/>
      <c r="J25" s="194"/>
    </row>
    <row r="26" spans="2:11" x14ac:dyDescent="0.15">
      <c r="E26" s="192"/>
      <c r="F26" s="93"/>
      <c r="G26" s="188"/>
      <c r="H26" s="188"/>
      <c r="I26" s="188"/>
      <c r="J26" s="194"/>
    </row>
    <row r="27" spans="2:11" x14ac:dyDescent="0.15">
      <c r="F27" s="93"/>
      <c r="G27" s="39"/>
      <c r="H27" s="195"/>
      <c r="I27" s="196"/>
      <c r="J27" s="196"/>
      <c r="K27" s="196"/>
    </row>
    <row r="28" spans="2:11" x14ac:dyDescent="0.15">
      <c r="F28" s="93"/>
      <c r="G28" s="38"/>
      <c r="H28" s="181"/>
      <c r="I28" s="12"/>
      <c r="J28" s="12"/>
      <c r="K28" s="12"/>
    </row>
    <row r="29" spans="2:11" x14ac:dyDescent="0.15">
      <c r="F29" s="190"/>
      <c r="H29" s="181"/>
      <c r="I29" s="181"/>
      <c r="J29" s="181"/>
      <c r="K29" s="181"/>
    </row>
    <row r="30" spans="2:11" x14ac:dyDescent="0.15">
      <c r="F30" s="190"/>
      <c r="I30" s="189"/>
      <c r="J30" s="189"/>
    </row>
  </sheetData>
  <mergeCells count="2">
    <mergeCell ref="B2:F2"/>
    <mergeCell ref="B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302E-AC18-428E-8ADC-C0E97BC15C13}">
  <dimension ref="B1:L40"/>
  <sheetViews>
    <sheetView showGridLines="0" topLeftCell="A16" workbookViewId="0">
      <selection activeCell="B33" sqref="B33:F38"/>
    </sheetView>
  </sheetViews>
  <sheetFormatPr baseColWidth="10" defaultColWidth="8.6640625" defaultRowHeight="13" x14ac:dyDescent="0.15"/>
  <cols>
    <col min="1" max="1" width="8.6640625" style="1"/>
    <col min="2" max="2" width="24.1640625" style="3" bestFit="1" customWidth="1"/>
    <col min="3" max="4" width="15.6640625" style="12" bestFit="1" customWidth="1"/>
    <col min="5" max="5" width="15.5" style="3" bestFit="1" customWidth="1"/>
    <col min="6" max="6" width="17.1640625" style="3" bestFit="1" customWidth="1"/>
    <col min="7" max="7" width="20.33203125" style="3" customWidth="1"/>
    <col min="8" max="8" width="13.33203125" style="3" bestFit="1" customWidth="1"/>
    <col min="9" max="9" width="13.33203125" style="1" bestFit="1" customWidth="1"/>
    <col min="10" max="10" width="11.83203125" style="1" bestFit="1" customWidth="1"/>
    <col min="11" max="11" width="10.83203125" style="1" bestFit="1" customWidth="1"/>
    <col min="12" max="12" width="5.6640625" style="1" bestFit="1" customWidth="1"/>
    <col min="13" max="16384" width="8.6640625" style="1"/>
  </cols>
  <sheetData>
    <row r="1" spans="2:12" ht="14.5" customHeight="1" x14ac:dyDescent="0.15">
      <c r="B1" s="199" t="s">
        <v>109</v>
      </c>
      <c r="C1" s="199"/>
      <c r="D1" s="199"/>
      <c r="E1" s="199"/>
      <c r="F1" s="199"/>
    </row>
    <row r="2" spans="2:12" x14ac:dyDescent="0.15">
      <c r="B2" s="198" t="s">
        <v>0</v>
      </c>
      <c r="C2" s="198"/>
      <c r="D2" s="198"/>
      <c r="E2" s="198"/>
      <c r="F2" s="198"/>
    </row>
    <row r="4" spans="2:12" s="5" customFormat="1" x14ac:dyDescent="0.15">
      <c r="B4" s="2" t="s">
        <v>1</v>
      </c>
      <c r="C4" s="34" t="s">
        <v>2</v>
      </c>
      <c r="D4" s="34" t="s">
        <v>3</v>
      </c>
      <c r="E4" s="2" t="s">
        <v>2</v>
      </c>
      <c r="F4" s="2" t="s">
        <v>45</v>
      </c>
      <c r="G4" s="8"/>
      <c r="H4" s="8"/>
    </row>
    <row r="5" spans="2:12" s="5" customFormat="1" x14ac:dyDescent="0.15">
      <c r="B5" s="2"/>
      <c r="C5" s="34" t="s">
        <v>43</v>
      </c>
      <c r="D5" s="34" t="s">
        <v>42</v>
      </c>
      <c r="E5" s="2" t="s">
        <v>4</v>
      </c>
      <c r="F5" s="2" t="s">
        <v>5</v>
      </c>
      <c r="G5" s="8"/>
      <c r="H5" s="8"/>
    </row>
    <row r="6" spans="2:12" s="5" customFormat="1" x14ac:dyDescent="0.15">
      <c r="B6" s="8" t="s">
        <v>48</v>
      </c>
      <c r="C6" s="17"/>
      <c r="D6" s="17"/>
      <c r="E6" s="8"/>
      <c r="F6" s="8"/>
      <c r="G6" s="8"/>
      <c r="H6" s="8"/>
    </row>
    <row r="7" spans="2:12" s="5" customFormat="1" x14ac:dyDescent="0.15">
      <c r="B7" s="3" t="s">
        <v>104</v>
      </c>
      <c r="C7" s="12">
        <v>101898171</v>
      </c>
      <c r="D7" s="12">
        <v>18730699</v>
      </c>
      <c r="E7" s="3">
        <v>27804533</v>
      </c>
      <c r="F7" s="3">
        <v>324652</v>
      </c>
      <c r="G7" s="8"/>
      <c r="H7" s="8"/>
    </row>
    <row r="8" spans="2:12" x14ac:dyDescent="0.15">
      <c r="B8" s="3" t="s">
        <v>105</v>
      </c>
      <c r="C8" s="12">
        <v>2127387</v>
      </c>
      <c r="D8" s="12">
        <v>2382268</v>
      </c>
      <c r="E8" s="3">
        <v>2636134</v>
      </c>
      <c r="F8" s="3">
        <v>2707134</v>
      </c>
    </row>
    <row r="9" spans="2:12" x14ac:dyDescent="0.15">
      <c r="B9" s="3" t="s">
        <v>47</v>
      </c>
      <c r="C9" s="12">
        <v>22118504</v>
      </c>
      <c r="D9" s="12">
        <v>22653039</v>
      </c>
      <c r="E9" s="3">
        <v>22653039</v>
      </c>
      <c r="F9" s="3">
        <v>22797448</v>
      </c>
    </row>
    <row r="10" spans="2:12" x14ac:dyDescent="0.15">
      <c r="B10" s="3" t="s">
        <v>106</v>
      </c>
      <c r="D10" s="12">
        <v>158831896</v>
      </c>
      <c r="E10" s="3">
        <v>228552569</v>
      </c>
      <c r="F10" s="3">
        <v>295849197</v>
      </c>
    </row>
    <row r="11" spans="2:12" x14ac:dyDescent="0.15">
      <c r="B11" s="3" t="s">
        <v>107</v>
      </c>
      <c r="C11" s="12">
        <v>-4717696</v>
      </c>
      <c r="D11" s="12">
        <v>-15502027</v>
      </c>
      <c r="E11" s="3">
        <v>-35856890</v>
      </c>
      <c r="F11" s="3">
        <v>-62359256</v>
      </c>
    </row>
    <row r="12" spans="2:12" x14ac:dyDescent="0.15">
      <c r="B12" s="3" t="s">
        <v>71</v>
      </c>
      <c r="E12" s="3">
        <v>0</v>
      </c>
      <c r="F12" s="3">
        <v>6179594</v>
      </c>
    </row>
    <row r="13" spans="2:12" s="5" customFormat="1" x14ac:dyDescent="0.15">
      <c r="B13" s="7" t="s">
        <v>56</v>
      </c>
      <c r="C13" s="13">
        <f>SUM(C7:C11)</f>
        <v>121426366</v>
      </c>
      <c r="D13" s="13">
        <f t="shared" ref="D13" si="0">SUM(D7:D11)</f>
        <v>187095875</v>
      </c>
      <c r="E13" s="7">
        <f>SUM(E7:E12)</f>
        <v>245789385</v>
      </c>
      <c r="F13" s="7">
        <f>SUM(F7:F12)</f>
        <v>265498769</v>
      </c>
      <c r="G13" s="8"/>
      <c r="H13" s="8"/>
    </row>
    <row r="14" spans="2:12" x14ac:dyDescent="0.15">
      <c r="B14" s="3" t="s">
        <v>57</v>
      </c>
    </row>
    <row r="15" spans="2:12" x14ac:dyDescent="0.15">
      <c r="B15" s="3" t="s">
        <v>58</v>
      </c>
      <c r="C15" s="12">
        <v>2819216</v>
      </c>
      <c r="D15" s="12">
        <v>5164291</v>
      </c>
      <c r="E15" s="3">
        <v>14755092</v>
      </c>
      <c r="F15" s="3">
        <v>57005027</v>
      </c>
    </row>
    <row r="16" spans="2:12" x14ac:dyDescent="0.15">
      <c r="B16" s="3" t="s">
        <v>59</v>
      </c>
      <c r="C16" s="12">
        <v>4150743</v>
      </c>
      <c r="D16" s="12">
        <v>6607010</v>
      </c>
      <c r="E16" s="3">
        <v>10287848</v>
      </c>
      <c r="F16" s="3">
        <v>69824489</v>
      </c>
      <c r="L16" s="3"/>
    </row>
    <row r="17" spans="2:9" x14ac:dyDescent="0.15">
      <c r="B17" s="3" t="s">
        <v>108</v>
      </c>
      <c r="C17" s="12">
        <v>300000</v>
      </c>
      <c r="D17" s="12">
        <v>35300000</v>
      </c>
      <c r="E17" s="3">
        <v>80300000</v>
      </c>
      <c r="F17" s="3">
        <v>300000</v>
      </c>
    </row>
    <row r="18" spans="2:9" x14ac:dyDescent="0.15">
      <c r="B18" s="3" t="s">
        <v>49</v>
      </c>
    </row>
    <row r="19" spans="2:9" x14ac:dyDescent="0.15">
      <c r="B19" s="3" t="s">
        <v>50</v>
      </c>
    </row>
    <row r="20" spans="2:9" s="5" customFormat="1" x14ac:dyDescent="0.15">
      <c r="B20" s="7" t="s">
        <v>51</v>
      </c>
      <c r="C20" s="13">
        <f>SUM(C15:C19)</f>
        <v>7269959</v>
      </c>
      <c r="D20" s="13">
        <f>SUM(D15:D19)</f>
        <v>47071301</v>
      </c>
      <c r="E20" s="7">
        <f>SUM(E14:E19)</f>
        <v>105342940</v>
      </c>
      <c r="F20" s="7">
        <f>SUM(F14:F19)</f>
        <v>127129516</v>
      </c>
      <c r="G20" s="8"/>
      <c r="H20" s="8"/>
    </row>
    <row r="21" spans="2:9" s="5" customFormat="1" x14ac:dyDescent="0.15">
      <c r="B21" s="2" t="s">
        <v>52</v>
      </c>
      <c r="C21" s="34">
        <f>C13+C20</f>
        <v>128696325</v>
      </c>
      <c r="D21" s="34">
        <f>D13+D20</f>
        <v>234167176</v>
      </c>
      <c r="E21" s="2">
        <f>E13+E20</f>
        <v>351132325</v>
      </c>
      <c r="F21" s="2">
        <f>F13+F20</f>
        <v>392628285</v>
      </c>
      <c r="G21" s="8"/>
      <c r="H21" s="8"/>
    </row>
    <row r="22" spans="2:9" s="5" customFormat="1" x14ac:dyDescent="0.15">
      <c r="B22" s="9"/>
      <c r="C22" s="20"/>
      <c r="D22" s="20"/>
      <c r="E22" s="9"/>
      <c r="F22" s="9"/>
      <c r="G22" s="9"/>
      <c r="H22" s="9"/>
    </row>
    <row r="23" spans="2:9" s="5" customFormat="1" x14ac:dyDescent="0.15">
      <c r="B23" s="9" t="s">
        <v>60</v>
      </c>
      <c r="C23" s="20"/>
      <c r="D23" s="20"/>
      <c r="E23" s="9"/>
      <c r="F23" s="9"/>
      <c r="G23" s="9"/>
      <c r="H23" s="9"/>
    </row>
    <row r="24" spans="2:9" x14ac:dyDescent="0.15">
      <c r="B24" s="10" t="s">
        <v>61</v>
      </c>
      <c r="C24" s="35"/>
      <c r="D24" s="35"/>
      <c r="E24" s="10"/>
      <c r="F24" s="10"/>
      <c r="G24" s="10"/>
      <c r="H24" s="10"/>
    </row>
    <row r="25" spans="2:9" s="5" customFormat="1" x14ac:dyDescent="0.15">
      <c r="B25" s="9" t="s">
        <v>8</v>
      </c>
      <c r="C25" s="20">
        <f>SUM(C24)</f>
        <v>0</v>
      </c>
      <c r="D25" s="20">
        <f t="shared" ref="D25:F25" si="1">SUM(D24)</f>
        <v>0</v>
      </c>
      <c r="E25" s="9">
        <f t="shared" si="1"/>
        <v>0</v>
      </c>
      <c r="F25" s="9">
        <f t="shared" si="1"/>
        <v>0</v>
      </c>
      <c r="G25" s="9"/>
      <c r="H25" s="9"/>
    </row>
    <row r="26" spans="2:9" s="5" customFormat="1" x14ac:dyDescent="0.15">
      <c r="B26" s="9" t="s">
        <v>62</v>
      </c>
      <c r="C26" s="20"/>
      <c r="D26" s="20"/>
      <c r="E26" s="9"/>
      <c r="F26" s="9"/>
      <c r="G26" s="9"/>
      <c r="H26" s="9"/>
    </row>
    <row r="27" spans="2:9" x14ac:dyDescent="0.15">
      <c r="B27" s="10" t="s">
        <v>63</v>
      </c>
      <c r="C27" s="35">
        <v>17736331</v>
      </c>
      <c r="D27" s="35">
        <v>2909811</v>
      </c>
      <c r="E27" s="10">
        <v>2934414</v>
      </c>
      <c r="F27" s="10">
        <v>3730554</v>
      </c>
      <c r="G27" s="10"/>
      <c r="H27" s="10"/>
    </row>
    <row r="28" spans="2:9" x14ac:dyDescent="0.15">
      <c r="B28" s="10" t="s">
        <v>64</v>
      </c>
      <c r="C28" s="35"/>
      <c r="D28" s="35"/>
      <c r="E28" s="10">
        <v>3924747</v>
      </c>
      <c r="F28" s="10">
        <v>6041958</v>
      </c>
      <c r="G28" s="10"/>
      <c r="H28" s="10"/>
    </row>
    <row r="29" spans="2:9" x14ac:dyDescent="0.15">
      <c r="B29" s="10" t="s">
        <v>65</v>
      </c>
      <c r="C29" s="35"/>
      <c r="D29" s="35"/>
      <c r="E29" s="10"/>
      <c r="F29" s="10"/>
      <c r="G29" s="10"/>
      <c r="H29" s="10"/>
    </row>
    <row r="30" spans="2:9" s="5" customFormat="1" x14ac:dyDescent="0.15">
      <c r="B30" s="7" t="s">
        <v>66</v>
      </c>
      <c r="C30" s="13">
        <f>SUM(C27:C29)</f>
        <v>17736331</v>
      </c>
      <c r="D30" s="13">
        <f>SUM(D27:D29)</f>
        <v>2909811</v>
      </c>
      <c r="E30" s="7">
        <f>SUM(E27:E29)</f>
        <v>6859161</v>
      </c>
      <c r="F30" s="7">
        <f>SUM(F27:F29)</f>
        <v>9772512</v>
      </c>
      <c r="G30" s="8"/>
      <c r="H30" s="8"/>
    </row>
    <row r="31" spans="2:9" x14ac:dyDescent="0.15">
      <c r="B31" s="8" t="s">
        <v>6</v>
      </c>
      <c r="C31" s="17"/>
      <c r="D31" s="17"/>
      <c r="E31" s="8"/>
      <c r="F31" s="8"/>
      <c r="I31" s="31"/>
    </row>
    <row r="32" spans="2:9" x14ac:dyDescent="0.15">
      <c r="B32" s="3" t="s">
        <v>7</v>
      </c>
      <c r="C32" s="12">
        <v>120000000</v>
      </c>
      <c r="D32" s="12">
        <v>246000000</v>
      </c>
      <c r="E32" s="3">
        <v>352444000</v>
      </c>
      <c r="F32" s="3">
        <v>352444000</v>
      </c>
    </row>
    <row r="33" spans="2:9" x14ac:dyDescent="0.15">
      <c r="B33" s="3" t="s">
        <v>68</v>
      </c>
      <c r="C33" s="12">
        <v>0</v>
      </c>
      <c r="I33" s="31"/>
    </row>
    <row r="34" spans="2:9" x14ac:dyDescent="0.15">
      <c r="B34" s="3" t="s">
        <v>53</v>
      </c>
      <c r="C34" s="12">
        <v>-9040006</v>
      </c>
      <c r="D34" s="12">
        <v>-14742636</v>
      </c>
      <c r="E34" s="3">
        <v>-8170834</v>
      </c>
      <c r="F34" s="3">
        <v>30411774</v>
      </c>
    </row>
    <row r="35" spans="2:9" x14ac:dyDescent="0.15">
      <c r="B35" s="3" t="s">
        <v>54</v>
      </c>
      <c r="C35" s="12">
        <v>0</v>
      </c>
      <c r="D35" s="12">
        <v>0</v>
      </c>
    </row>
    <row r="36" spans="2:9" x14ac:dyDescent="0.15">
      <c r="B36" s="7" t="s">
        <v>55</v>
      </c>
      <c r="C36" s="13">
        <f>SUM(C32:C35)</f>
        <v>110959994</v>
      </c>
      <c r="D36" s="13">
        <f>SUM(D32:D35)</f>
        <v>231257364</v>
      </c>
      <c r="E36" s="13">
        <f t="shared" ref="E36:F36" si="2">SUM(E32:E35)</f>
        <v>344273166</v>
      </c>
      <c r="F36" s="13">
        <f t="shared" si="2"/>
        <v>382855774</v>
      </c>
    </row>
    <row r="37" spans="2:9" x14ac:dyDescent="0.15">
      <c r="B37" s="9"/>
      <c r="C37" s="20"/>
      <c r="D37" s="20"/>
      <c r="E37" s="9"/>
      <c r="F37" s="9"/>
      <c r="G37" s="10"/>
      <c r="H37" s="10"/>
    </row>
    <row r="38" spans="2:9" s="5" customFormat="1" x14ac:dyDescent="0.15">
      <c r="B38" s="36" t="s">
        <v>67</v>
      </c>
      <c r="C38" s="37">
        <f>C36+C30+C25</f>
        <v>128696325</v>
      </c>
      <c r="D38" s="37">
        <f>D36+D30+D25</f>
        <v>234167175</v>
      </c>
      <c r="E38" s="36">
        <f>E36+E30+E25</f>
        <v>351132327</v>
      </c>
      <c r="F38" s="36">
        <f>F36+F30+F25</f>
        <v>392628286</v>
      </c>
      <c r="G38" s="8"/>
      <c r="H38" s="8"/>
    </row>
    <row r="40" spans="2:9" x14ac:dyDescent="0.15">
      <c r="C40" s="12">
        <f>C38-C21</f>
        <v>0</v>
      </c>
      <c r="D40" s="12">
        <f>D38-D21</f>
        <v>-1</v>
      </c>
      <c r="E40" s="12">
        <f>E38-E21</f>
        <v>2</v>
      </c>
      <c r="F40" s="12">
        <f>F38-F21</f>
        <v>1</v>
      </c>
    </row>
  </sheetData>
  <mergeCells count="2">
    <mergeCell ref="B2:F2"/>
    <mergeCell ref="B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01CD-C722-4D58-93B8-2E0F86C90CEF}">
  <dimension ref="B2:J61"/>
  <sheetViews>
    <sheetView showGridLines="0" topLeftCell="A24" workbookViewId="0">
      <selection activeCell="D37" sqref="D37"/>
    </sheetView>
  </sheetViews>
  <sheetFormatPr baseColWidth="10" defaultColWidth="8.6640625" defaultRowHeight="12" x14ac:dyDescent="0.2"/>
  <cols>
    <col min="1" max="1" width="8.6640625" style="44"/>
    <col min="2" max="2" width="23.5" style="44" bestFit="1" customWidth="1"/>
    <col min="3" max="3" width="15.1640625" style="44" bestFit="1" customWidth="1"/>
    <col min="4" max="4" width="12.83203125" style="44" bestFit="1" customWidth="1"/>
    <col min="5" max="5" width="12.5" style="44" bestFit="1" customWidth="1"/>
    <col min="6" max="9" width="12.83203125" style="44" bestFit="1" customWidth="1"/>
    <col min="10" max="10" width="31.33203125" style="44" customWidth="1"/>
    <col min="11" max="16384" width="8.6640625" style="44"/>
  </cols>
  <sheetData>
    <row r="2" spans="2:10" s="45" customFormat="1" x14ac:dyDescent="0.2">
      <c r="B2" s="48" t="s">
        <v>176</v>
      </c>
    </row>
    <row r="3" spans="2:10" s="45" customFormat="1" x14ac:dyDescent="0.2">
      <c r="B3" s="46" t="s">
        <v>177</v>
      </c>
      <c r="C3" s="46" t="s">
        <v>178</v>
      </c>
      <c r="D3" s="46" t="s">
        <v>179</v>
      </c>
      <c r="E3" s="46" t="s">
        <v>180</v>
      </c>
      <c r="F3" s="46">
        <v>2027</v>
      </c>
      <c r="G3" s="46">
        <f>F3+1</f>
        <v>2028</v>
      </c>
      <c r="H3" s="46">
        <f>G3+1</f>
        <v>2029</v>
      </c>
      <c r="I3" s="46">
        <f>H3+1</f>
        <v>2030</v>
      </c>
      <c r="J3" s="46" t="s">
        <v>181</v>
      </c>
    </row>
    <row r="4" spans="2:10" x14ac:dyDescent="0.2">
      <c r="B4" s="47" t="s">
        <v>182</v>
      </c>
      <c r="C4" s="47" t="s">
        <v>187</v>
      </c>
      <c r="D4" s="47">
        <v>7.3</v>
      </c>
      <c r="E4" s="47">
        <v>11</v>
      </c>
      <c r="F4" s="47">
        <v>15</v>
      </c>
      <c r="G4" s="47">
        <v>19</v>
      </c>
      <c r="H4" s="47">
        <v>23</v>
      </c>
      <c r="I4" s="47">
        <v>25</v>
      </c>
      <c r="J4" s="47"/>
    </row>
    <row r="5" spans="2:10" x14ac:dyDescent="0.2">
      <c r="B5" s="47" t="s">
        <v>145</v>
      </c>
      <c r="C5" s="47" t="s">
        <v>187</v>
      </c>
      <c r="D5" s="47">
        <v>2.5</v>
      </c>
      <c r="E5" s="47">
        <v>4.5</v>
      </c>
      <c r="F5" s="47">
        <v>7</v>
      </c>
      <c r="G5" s="47">
        <v>10</v>
      </c>
      <c r="H5" s="47">
        <v>13</v>
      </c>
      <c r="I5" s="47">
        <v>15</v>
      </c>
      <c r="J5" s="47"/>
    </row>
    <row r="6" spans="2:10" x14ac:dyDescent="0.2">
      <c r="B6" s="47" t="s">
        <v>160</v>
      </c>
      <c r="C6" s="47" t="s">
        <v>188</v>
      </c>
      <c r="D6" s="47">
        <v>0</v>
      </c>
      <c r="E6" s="47">
        <v>200</v>
      </c>
      <c r="F6" s="47">
        <v>600</v>
      </c>
      <c r="G6" s="47">
        <v>1000</v>
      </c>
      <c r="H6" s="47">
        <v>1500</v>
      </c>
      <c r="I6" s="47">
        <v>2000</v>
      </c>
      <c r="J6" s="47" t="s">
        <v>191</v>
      </c>
    </row>
    <row r="7" spans="2:10" x14ac:dyDescent="0.2">
      <c r="B7" s="47" t="s">
        <v>183</v>
      </c>
      <c r="C7" s="47" t="s">
        <v>187</v>
      </c>
      <c r="D7" s="47">
        <v>0</v>
      </c>
      <c r="E7" s="47">
        <v>0</v>
      </c>
      <c r="F7" s="47">
        <v>5</v>
      </c>
      <c r="G7" s="47">
        <v>15</v>
      </c>
      <c r="H7" s="47">
        <v>25</v>
      </c>
      <c r="I7" s="47">
        <v>35</v>
      </c>
      <c r="J7" s="47" t="s">
        <v>192</v>
      </c>
    </row>
    <row r="8" spans="2:10" x14ac:dyDescent="0.2">
      <c r="B8" s="47" t="s">
        <v>184</v>
      </c>
      <c r="C8" s="47" t="s">
        <v>187</v>
      </c>
      <c r="D8" s="47">
        <v>1.4</v>
      </c>
      <c r="E8" s="47">
        <v>2</v>
      </c>
      <c r="F8" s="47">
        <v>3</v>
      </c>
      <c r="G8" s="47">
        <v>4.5</v>
      </c>
      <c r="H8" s="47">
        <v>6</v>
      </c>
      <c r="I8" s="47">
        <v>7</v>
      </c>
      <c r="J8" s="47"/>
    </row>
    <row r="9" spans="2:10" x14ac:dyDescent="0.2">
      <c r="B9" s="47" t="s">
        <v>185</v>
      </c>
      <c r="C9" s="47" t="s">
        <v>189</v>
      </c>
      <c r="D9" s="47">
        <v>0</v>
      </c>
      <c r="E9" s="47">
        <v>1</v>
      </c>
      <c r="F9" s="47">
        <v>3</v>
      </c>
      <c r="G9" s="47">
        <v>7</v>
      </c>
      <c r="H9" s="47">
        <v>11</v>
      </c>
      <c r="I9" s="47">
        <v>16</v>
      </c>
      <c r="J9" s="47"/>
    </row>
    <row r="10" spans="2:10" x14ac:dyDescent="0.2">
      <c r="B10" s="47" t="s">
        <v>186</v>
      </c>
      <c r="C10" s="47" t="s">
        <v>190</v>
      </c>
      <c r="D10" s="47">
        <v>0</v>
      </c>
      <c r="E10" s="47">
        <v>1000</v>
      </c>
      <c r="F10" s="47">
        <v>5000</v>
      </c>
      <c r="G10" s="47">
        <v>9000</v>
      </c>
      <c r="H10" s="47">
        <v>14000</v>
      </c>
      <c r="I10" s="47">
        <v>20000</v>
      </c>
      <c r="J10" s="47" t="s">
        <v>193</v>
      </c>
    </row>
    <row r="12" spans="2:10" x14ac:dyDescent="0.2">
      <c r="B12" s="48" t="s">
        <v>207</v>
      </c>
    </row>
    <row r="13" spans="2:10" ht="13" x14ac:dyDescent="0.2">
      <c r="B13" s="49" t="s">
        <v>177</v>
      </c>
      <c r="C13" s="50"/>
      <c r="D13" s="51">
        <v>2025</v>
      </c>
      <c r="E13" s="51">
        <v>2026</v>
      </c>
      <c r="F13" s="51">
        <v>2027</v>
      </c>
      <c r="G13" s="51">
        <v>2028</v>
      </c>
      <c r="H13" s="51">
        <v>2029</v>
      </c>
      <c r="I13" s="51">
        <v>2030</v>
      </c>
      <c r="J13" s="49" t="s">
        <v>181</v>
      </c>
    </row>
    <row r="14" spans="2:10" ht="13" x14ac:dyDescent="0.2">
      <c r="B14" s="52" t="s">
        <v>194</v>
      </c>
      <c r="C14" s="47"/>
      <c r="D14" s="53">
        <v>39968000</v>
      </c>
      <c r="E14" s="53">
        <v>60225000</v>
      </c>
      <c r="F14" s="53">
        <v>82125000</v>
      </c>
      <c r="G14" s="53">
        <v>104025000</v>
      </c>
      <c r="H14" s="53">
        <v>125925000</v>
      </c>
      <c r="I14" s="53">
        <v>136875000</v>
      </c>
      <c r="J14" s="52"/>
    </row>
    <row r="15" spans="2:10" ht="13" x14ac:dyDescent="0.2">
      <c r="B15" s="52" t="s">
        <v>145</v>
      </c>
      <c r="C15" s="47"/>
      <c r="D15" s="53">
        <v>100000000</v>
      </c>
      <c r="E15" s="53">
        <v>80000000</v>
      </c>
      <c r="F15" s="53">
        <v>100000000</v>
      </c>
      <c r="G15" s="53">
        <v>120000000</v>
      </c>
      <c r="H15" s="53">
        <v>120000000</v>
      </c>
      <c r="I15" s="53">
        <v>80000000</v>
      </c>
      <c r="J15" s="52" t="s">
        <v>195</v>
      </c>
    </row>
    <row r="16" spans="2:10" ht="13" x14ac:dyDescent="0.2">
      <c r="B16" s="52" t="s">
        <v>196</v>
      </c>
      <c r="C16" s="47"/>
      <c r="D16" s="53">
        <v>0</v>
      </c>
      <c r="E16" s="53">
        <v>1400000</v>
      </c>
      <c r="F16" s="53">
        <v>4200000</v>
      </c>
      <c r="G16" s="53">
        <v>7000000</v>
      </c>
      <c r="H16" s="53">
        <v>10500000</v>
      </c>
      <c r="I16" s="53">
        <v>14000000</v>
      </c>
      <c r="J16" s="52"/>
    </row>
    <row r="17" spans="2:10" ht="13" x14ac:dyDescent="0.2">
      <c r="B17" s="52" t="s">
        <v>183</v>
      </c>
      <c r="C17" s="47"/>
      <c r="D17" s="53">
        <v>0</v>
      </c>
      <c r="E17" s="53">
        <v>0</v>
      </c>
      <c r="F17" s="53">
        <v>0</v>
      </c>
      <c r="G17" s="53">
        <v>0</v>
      </c>
      <c r="H17" s="53">
        <v>5250000</v>
      </c>
      <c r="I17" s="53">
        <v>22050000</v>
      </c>
      <c r="J17" s="52" t="s">
        <v>198</v>
      </c>
    </row>
    <row r="18" spans="2:10" ht="13" x14ac:dyDescent="0.2">
      <c r="B18" s="52" t="s">
        <v>184</v>
      </c>
      <c r="C18" s="47"/>
      <c r="D18" s="53">
        <v>1680000</v>
      </c>
      <c r="E18" s="53">
        <v>2400000</v>
      </c>
      <c r="F18" s="53">
        <v>3600000</v>
      </c>
      <c r="G18" s="53">
        <v>5400000</v>
      </c>
      <c r="H18" s="53">
        <v>7200000</v>
      </c>
      <c r="I18" s="53">
        <v>8400000</v>
      </c>
      <c r="J18" s="52"/>
    </row>
    <row r="19" spans="2:10" ht="13" x14ac:dyDescent="0.2">
      <c r="B19" s="52" t="s">
        <v>185</v>
      </c>
      <c r="C19" s="47"/>
      <c r="D19" s="53">
        <v>0</v>
      </c>
      <c r="E19" s="53">
        <v>500000</v>
      </c>
      <c r="F19" s="53">
        <v>1500000</v>
      </c>
      <c r="G19" s="53">
        <v>3500000</v>
      </c>
      <c r="H19" s="53">
        <v>5500000</v>
      </c>
      <c r="I19" s="53">
        <v>8000000</v>
      </c>
      <c r="J19" s="52" t="s">
        <v>199</v>
      </c>
    </row>
    <row r="20" spans="2:10" ht="13" x14ac:dyDescent="0.2">
      <c r="B20" s="52" t="s">
        <v>200</v>
      </c>
      <c r="C20" s="47"/>
      <c r="D20" s="53">
        <v>0</v>
      </c>
      <c r="E20" s="53">
        <v>144000</v>
      </c>
      <c r="F20" s="53">
        <v>742000</v>
      </c>
      <c r="G20" s="53">
        <v>1335000</v>
      </c>
      <c r="H20" s="53">
        <v>1869000</v>
      </c>
      <c r="I20" s="53">
        <v>2373000</v>
      </c>
      <c r="J20" s="52" t="s">
        <v>193</v>
      </c>
    </row>
    <row r="21" spans="2:10" ht="13" x14ac:dyDescent="0.2">
      <c r="B21" s="54" t="s">
        <v>201</v>
      </c>
      <c r="C21" s="55"/>
      <c r="D21" s="56">
        <f t="shared" ref="D21:I21" si="0">SUM(D14:D20)</f>
        <v>141648000</v>
      </c>
      <c r="E21" s="56">
        <f t="shared" si="0"/>
        <v>144669000</v>
      </c>
      <c r="F21" s="56">
        <f t="shared" si="0"/>
        <v>192167000</v>
      </c>
      <c r="G21" s="56">
        <f t="shared" si="0"/>
        <v>241260000</v>
      </c>
      <c r="H21" s="56">
        <f t="shared" si="0"/>
        <v>276244000</v>
      </c>
      <c r="I21" s="56">
        <f t="shared" si="0"/>
        <v>271698000</v>
      </c>
      <c r="J21" s="57"/>
    </row>
    <row r="22" spans="2:10" x14ac:dyDescent="0.2">
      <c r="B22" s="61"/>
      <c r="D22" s="58"/>
      <c r="E22" s="58"/>
      <c r="F22" s="58"/>
      <c r="G22" s="58"/>
      <c r="H22" s="58"/>
      <c r="I22" s="58"/>
      <c r="J22" s="62"/>
    </row>
    <row r="23" spans="2:10" x14ac:dyDescent="0.2">
      <c r="B23" s="48" t="s">
        <v>206</v>
      </c>
    </row>
    <row r="24" spans="2:10" ht="13" x14ac:dyDescent="0.2">
      <c r="B24" s="49" t="s">
        <v>177</v>
      </c>
      <c r="C24" s="50"/>
      <c r="D24" s="51">
        <v>2025</v>
      </c>
      <c r="E24" s="51">
        <v>2026</v>
      </c>
      <c r="F24" s="51">
        <v>2027</v>
      </c>
      <c r="G24" s="51">
        <v>2028</v>
      </c>
      <c r="H24" s="51">
        <v>2029</v>
      </c>
      <c r="I24" s="51">
        <v>2030</v>
      </c>
      <c r="J24" s="49" t="s">
        <v>181</v>
      </c>
    </row>
    <row r="25" spans="2:10" ht="13" x14ac:dyDescent="0.2">
      <c r="B25" s="52" t="s">
        <v>202</v>
      </c>
      <c r="C25" s="47"/>
      <c r="D25" s="53">
        <v>3650000</v>
      </c>
      <c r="E25" s="53">
        <v>5500000</v>
      </c>
      <c r="F25" s="53">
        <v>7500000</v>
      </c>
      <c r="G25" s="53">
        <v>9500000</v>
      </c>
      <c r="H25" s="53">
        <v>11500000</v>
      </c>
      <c r="I25" s="53">
        <v>12500000</v>
      </c>
      <c r="J25" s="52"/>
    </row>
    <row r="26" spans="2:10" ht="13" x14ac:dyDescent="0.2">
      <c r="B26" s="52" t="s">
        <v>145</v>
      </c>
      <c r="C26" s="47"/>
      <c r="D26" s="53">
        <v>75000000</v>
      </c>
      <c r="E26" s="53">
        <v>68000000</v>
      </c>
      <c r="F26" s="53">
        <v>85000000</v>
      </c>
      <c r="G26" s="53">
        <v>102000000</v>
      </c>
      <c r="H26" s="53">
        <v>102000000</v>
      </c>
      <c r="I26" s="53">
        <v>68000000</v>
      </c>
      <c r="J26" s="52" t="s">
        <v>195</v>
      </c>
    </row>
    <row r="27" spans="2:10" ht="13" x14ac:dyDescent="0.2">
      <c r="B27" s="52" t="s">
        <v>160</v>
      </c>
      <c r="C27" s="47"/>
      <c r="D27" s="53">
        <v>0</v>
      </c>
      <c r="E27" s="53">
        <v>200000</v>
      </c>
      <c r="F27" s="53">
        <v>600000</v>
      </c>
      <c r="G27" s="53">
        <v>1000000</v>
      </c>
      <c r="H27" s="53">
        <v>1500000</v>
      </c>
      <c r="I27" s="53">
        <v>2000000</v>
      </c>
      <c r="J27" s="52"/>
    </row>
    <row r="28" spans="2:10" ht="13" x14ac:dyDescent="0.2">
      <c r="B28" s="52" t="s">
        <v>203</v>
      </c>
      <c r="C28" s="47"/>
      <c r="D28" s="53">
        <v>0</v>
      </c>
      <c r="E28" s="53" t="s">
        <v>197</v>
      </c>
      <c r="F28" s="53">
        <v>105000000</v>
      </c>
      <c r="G28" s="53">
        <v>210000000</v>
      </c>
      <c r="H28" s="53">
        <v>210000000</v>
      </c>
      <c r="I28" s="53">
        <v>210000000</v>
      </c>
      <c r="J28" s="52" t="s">
        <v>204</v>
      </c>
    </row>
    <row r="29" spans="2:10" ht="13" x14ac:dyDescent="0.2">
      <c r="B29" s="52" t="s">
        <v>184</v>
      </c>
      <c r="C29" s="47"/>
      <c r="D29" s="53">
        <v>840000</v>
      </c>
      <c r="E29" s="53">
        <v>1200000</v>
      </c>
      <c r="F29" s="53">
        <v>1800000</v>
      </c>
      <c r="G29" s="53">
        <v>2700000</v>
      </c>
      <c r="H29" s="53">
        <v>3600000</v>
      </c>
      <c r="I29" s="53">
        <v>4200000</v>
      </c>
      <c r="J29" s="52"/>
    </row>
    <row r="30" spans="2:10" ht="13" x14ac:dyDescent="0.2">
      <c r="B30" s="52" t="s">
        <v>185</v>
      </c>
      <c r="C30" s="47"/>
      <c r="D30" s="53">
        <v>0</v>
      </c>
      <c r="E30" s="53">
        <v>300000</v>
      </c>
      <c r="F30" s="53">
        <v>900000</v>
      </c>
      <c r="G30" s="53">
        <v>2100000</v>
      </c>
      <c r="H30" s="53">
        <v>3300000</v>
      </c>
      <c r="I30" s="53">
        <v>4800000</v>
      </c>
      <c r="J30" s="52"/>
    </row>
    <row r="31" spans="2:10" ht="13" x14ac:dyDescent="0.2">
      <c r="B31" s="52" t="s">
        <v>200</v>
      </c>
      <c r="C31" s="47"/>
      <c r="D31" s="53">
        <v>0</v>
      </c>
      <c r="E31" s="53">
        <v>29000</v>
      </c>
      <c r="F31" s="53">
        <v>148000</v>
      </c>
      <c r="G31" s="53">
        <v>267000</v>
      </c>
      <c r="H31" s="53">
        <v>374000</v>
      </c>
      <c r="I31" s="53">
        <v>475000</v>
      </c>
      <c r="J31" s="52"/>
    </row>
    <row r="32" spans="2:10" ht="13" x14ac:dyDescent="0.2">
      <c r="B32" s="54" t="s">
        <v>205</v>
      </c>
      <c r="C32" s="55"/>
      <c r="D32" s="59">
        <f t="shared" ref="D32:I32" si="1">SUM(D25:D31)</f>
        <v>79490000</v>
      </c>
      <c r="E32" s="59">
        <f t="shared" si="1"/>
        <v>75229000</v>
      </c>
      <c r="F32" s="59">
        <f t="shared" si="1"/>
        <v>200948000</v>
      </c>
      <c r="G32" s="59">
        <f t="shared" si="1"/>
        <v>327567000</v>
      </c>
      <c r="H32" s="59">
        <f t="shared" si="1"/>
        <v>332274000</v>
      </c>
      <c r="I32" s="59">
        <f t="shared" si="1"/>
        <v>301975000</v>
      </c>
      <c r="J32" s="57"/>
    </row>
    <row r="34" spans="2:10" s="63" customFormat="1" x14ac:dyDescent="0.2">
      <c r="B34" s="48" t="s">
        <v>208</v>
      </c>
    </row>
    <row r="35" spans="2:10" ht="15" x14ac:dyDescent="0.2">
      <c r="B35" s="64" t="s">
        <v>177</v>
      </c>
      <c r="C35" s="65" t="s">
        <v>178</v>
      </c>
      <c r="D35" s="65">
        <v>2025</v>
      </c>
      <c r="E35" s="65">
        <v>2026</v>
      </c>
      <c r="F35" s="65">
        <v>2027</v>
      </c>
      <c r="G35" s="65">
        <v>2028</v>
      </c>
      <c r="H35" s="65">
        <v>2029</v>
      </c>
      <c r="I35" s="65">
        <v>2030</v>
      </c>
      <c r="J35" s="65" t="s">
        <v>181</v>
      </c>
    </row>
    <row r="36" spans="2:10" x14ac:dyDescent="0.2">
      <c r="B36" s="53" t="s">
        <v>209</v>
      </c>
      <c r="C36" s="66" t="s">
        <v>210</v>
      </c>
      <c r="D36" s="53">
        <v>401500</v>
      </c>
      <c r="E36" s="53">
        <v>576895</v>
      </c>
      <c r="F36" s="53">
        <v>784617</v>
      </c>
      <c r="G36" s="53">
        <v>990077</v>
      </c>
      <c r="H36" s="53">
        <v>1195695</v>
      </c>
      <c r="I36" s="53">
        <v>1291301</v>
      </c>
      <c r="J36" s="66" t="s">
        <v>211</v>
      </c>
    </row>
    <row r="37" spans="2:10" x14ac:dyDescent="0.2">
      <c r="B37" s="53" t="s">
        <v>160</v>
      </c>
      <c r="C37" s="66" t="s">
        <v>210</v>
      </c>
      <c r="D37" s="53"/>
      <c r="E37" s="53">
        <v>11000</v>
      </c>
      <c r="F37" s="53">
        <v>32230</v>
      </c>
      <c r="G37" s="53">
        <v>52744</v>
      </c>
      <c r="H37" s="53">
        <v>78808</v>
      </c>
      <c r="I37" s="53">
        <v>104483</v>
      </c>
      <c r="J37" s="66" t="s">
        <v>212</v>
      </c>
    </row>
    <row r="38" spans="2:10" x14ac:dyDescent="0.2">
      <c r="B38" s="53" t="s">
        <v>183</v>
      </c>
      <c r="C38" s="66" t="s">
        <v>210</v>
      </c>
      <c r="D38" s="53"/>
      <c r="E38" s="53"/>
      <c r="F38" s="53">
        <v>105000</v>
      </c>
      <c r="G38" s="53">
        <v>315000</v>
      </c>
      <c r="H38" s="53">
        <v>525000</v>
      </c>
      <c r="I38" s="53">
        <v>735000</v>
      </c>
      <c r="J38" s="66" t="s">
        <v>213</v>
      </c>
    </row>
    <row r="39" spans="2:10" s="63" customFormat="1" x14ac:dyDescent="0.2">
      <c r="B39" s="65" t="s">
        <v>8</v>
      </c>
      <c r="C39" s="65"/>
      <c r="D39" s="65">
        <f t="shared" ref="D39:I39" si="2">SUM(D36:D38)</f>
        <v>401500</v>
      </c>
      <c r="E39" s="65">
        <f t="shared" si="2"/>
        <v>587895</v>
      </c>
      <c r="F39" s="65">
        <f t="shared" si="2"/>
        <v>921847</v>
      </c>
      <c r="G39" s="65">
        <f t="shared" si="2"/>
        <v>1357821</v>
      </c>
      <c r="H39" s="65">
        <f t="shared" si="2"/>
        <v>1799503</v>
      </c>
      <c r="I39" s="65">
        <f t="shared" si="2"/>
        <v>2130784</v>
      </c>
      <c r="J39" s="65"/>
    </row>
    <row r="42" spans="2:10" s="63" customFormat="1" x14ac:dyDescent="0.2"/>
    <row r="43" spans="2:10" s="63" customFormat="1" x14ac:dyDescent="0.2"/>
    <row r="51" s="63" customFormat="1" x14ac:dyDescent="0.2"/>
    <row r="61" s="63" customFormat="1" x14ac:dyDescent="0.2"/>
  </sheetData>
  <pageMargins left="0.7" right="0.7" top="0.75" bottom="0.75" header="0.3" footer="0.3"/>
  <ignoredErrors>
    <ignoredError sqref="D21:E21 F21:I21 D32: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602B-D147-444E-9477-3800CCF90651}">
  <dimension ref="B2:J29"/>
  <sheetViews>
    <sheetView showGridLines="0" topLeftCell="A12" workbookViewId="0">
      <selection activeCell="D18" sqref="D18"/>
    </sheetView>
  </sheetViews>
  <sheetFormatPr baseColWidth="10" defaultColWidth="8.83203125" defaultRowHeight="15" x14ac:dyDescent="0.2"/>
  <cols>
    <col min="2" max="2" width="22.33203125" bestFit="1" customWidth="1"/>
    <col min="4" max="4" width="11" bestFit="1" customWidth="1"/>
    <col min="5" max="5" width="10.5" bestFit="1" customWidth="1"/>
    <col min="6" max="9" width="11" bestFit="1" customWidth="1"/>
    <col min="10" max="10" width="31.33203125" style="160" customWidth="1"/>
  </cols>
  <sheetData>
    <row r="2" spans="2:10" x14ac:dyDescent="0.2">
      <c r="B2" s="67" t="s">
        <v>214</v>
      </c>
      <c r="C2" s="68"/>
      <c r="D2" s="68">
        <v>2025</v>
      </c>
      <c r="E2" s="68">
        <v>2026</v>
      </c>
      <c r="F2" s="68">
        <v>2027</v>
      </c>
      <c r="G2" s="68">
        <v>2028</v>
      </c>
      <c r="H2" s="68">
        <v>2029</v>
      </c>
      <c r="I2" s="68">
        <v>2030</v>
      </c>
      <c r="J2" s="161" t="s">
        <v>181</v>
      </c>
    </row>
    <row r="3" spans="2:10" x14ac:dyDescent="0.2">
      <c r="B3" s="63" t="s">
        <v>177</v>
      </c>
      <c r="C3" s="63"/>
      <c r="D3" s="63"/>
      <c r="E3" s="63"/>
      <c r="F3" s="63"/>
      <c r="G3" s="63"/>
      <c r="H3" s="63"/>
      <c r="I3" s="63"/>
      <c r="J3" s="155"/>
    </row>
    <row r="4" spans="2:10" x14ac:dyDescent="0.2">
      <c r="B4" s="63" t="s">
        <v>215</v>
      </c>
      <c r="C4" s="63"/>
      <c r="D4" s="63"/>
      <c r="E4" s="63"/>
      <c r="F4" s="63"/>
      <c r="G4" s="63"/>
      <c r="H4" s="63"/>
      <c r="I4" s="63"/>
      <c r="J4" s="155"/>
    </row>
    <row r="5" spans="2:10" x14ac:dyDescent="0.2">
      <c r="B5" s="69" t="s">
        <v>216</v>
      </c>
      <c r="C5" s="44"/>
      <c r="D5" s="70">
        <v>39968000</v>
      </c>
      <c r="E5" s="70">
        <v>60225000</v>
      </c>
      <c r="F5" s="70">
        <v>82125000</v>
      </c>
      <c r="G5" s="70">
        <v>104025000</v>
      </c>
      <c r="H5" s="70">
        <v>125925000</v>
      </c>
      <c r="I5" s="70">
        <v>136875000</v>
      </c>
      <c r="J5" s="156"/>
    </row>
    <row r="6" spans="2:10" x14ac:dyDescent="0.2">
      <c r="B6" s="69" t="s">
        <v>217</v>
      </c>
      <c r="C6" s="44"/>
      <c r="D6" s="70">
        <v>100000000</v>
      </c>
      <c r="E6" s="70">
        <v>80000000</v>
      </c>
      <c r="F6" s="70">
        <v>100000000</v>
      </c>
      <c r="G6" s="70">
        <v>120000000</v>
      </c>
      <c r="H6" s="70">
        <v>120000000</v>
      </c>
      <c r="I6" s="70">
        <v>80000000</v>
      </c>
      <c r="J6" s="156" t="s">
        <v>195</v>
      </c>
    </row>
    <row r="7" spans="2:10" ht="16" x14ac:dyDescent="0.2">
      <c r="B7" s="69" t="s">
        <v>218</v>
      </c>
      <c r="C7" s="44"/>
      <c r="D7" s="70">
        <v>0</v>
      </c>
      <c r="E7" s="70">
        <v>1400000</v>
      </c>
      <c r="F7" s="70">
        <v>4200000</v>
      </c>
      <c r="G7" s="70">
        <v>7000000</v>
      </c>
      <c r="H7" s="70">
        <v>10500000</v>
      </c>
      <c r="I7" s="70">
        <v>14000000</v>
      </c>
      <c r="J7" s="156" t="s">
        <v>318</v>
      </c>
    </row>
    <row r="8" spans="2:10" x14ac:dyDescent="0.2">
      <c r="B8" s="69" t="s">
        <v>219</v>
      </c>
      <c r="C8" s="44"/>
      <c r="D8" s="70">
        <v>0</v>
      </c>
      <c r="E8" s="70">
        <v>0</v>
      </c>
      <c r="F8" s="70">
        <v>0</v>
      </c>
      <c r="G8" s="70">
        <v>0</v>
      </c>
      <c r="H8" s="70">
        <v>5250000</v>
      </c>
      <c r="I8" s="70">
        <v>22050000</v>
      </c>
      <c r="J8" s="156" t="s">
        <v>198</v>
      </c>
    </row>
    <row r="9" spans="2:10" x14ac:dyDescent="0.2">
      <c r="B9" s="69" t="s">
        <v>220</v>
      </c>
      <c r="C9" s="44"/>
      <c r="D9" s="70">
        <v>1680000</v>
      </c>
      <c r="E9" s="70">
        <v>2400000</v>
      </c>
      <c r="F9" s="70">
        <v>3600000</v>
      </c>
      <c r="G9" s="70">
        <v>5400000</v>
      </c>
      <c r="H9" s="70">
        <v>7200000</v>
      </c>
      <c r="I9" s="70">
        <v>8400000</v>
      </c>
      <c r="J9" s="156"/>
    </row>
    <row r="10" spans="2:10" x14ac:dyDescent="0.2">
      <c r="B10" s="69" t="s">
        <v>221</v>
      </c>
      <c r="C10" s="44"/>
      <c r="D10" s="70">
        <v>0</v>
      </c>
      <c r="E10" s="70">
        <v>500000</v>
      </c>
      <c r="F10" s="70">
        <v>1500000</v>
      </c>
      <c r="G10" s="70">
        <v>3500000</v>
      </c>
      <c r="H10" s="70">
        <v>5500000</v>
      </c>
      <c r="I10" s="70">
        <v>8000000</v>
      </c>
      <c r="J10" s="156" t="s">
        <v>199</v>
      </c>
    </row>
    <row r="11" spans="2:10" x14ac:dyDescent="0.2">
      <c r="B11" s="69" t="s">
        <v>222</v>
      </c>
      <c r="C11" s="44"/>
      <c r="D11" s="70">
        <v>0</v>
      </c>
      <c r="E11" s="70">
        <v>144000</v>
      </c>
      <c r="F11" s="70">
        <v>742000</v>
      </c>
      <c r="G11" s="70">
        <v>1335000</v>
      </c>
      <c r="H11" s="70">
        <v>1869000</v>
      </c>
      <c r="I11" s="70">
        <v>2373000</v>
      </c>
      <c r="J11" s="156" t="s">
        <v>193</v>
      </c>
    </row>
    <row r="12" spans="2:10" x14ac:dyDescent="0.2">
      <c r="B12" s="67" t="s">
        <v>223</v>
      </c>
      <c r="C12" s="67"/>
      <c r="D12" s="71">
        <f t="shared" ref="D12:J12" si="0">SUM(D5:D11)</f>
        <v>141648000</v>
      </c>
      <c r="E12" s="71">
        <f t="shared" si="0"/>
        <v>144669000</v>
      </c>
      <c r="F12" s="71">
        <f t="shared" si="0"/>
        <v>192167000</v>
      </c>
      <c r="G12" s="71">
        <f t="shared" si="0"/>
        <v>241260000</v>
      </c>
      <c r="H12" s="71">
        <f t="shared" si="0"/>
        <v>276244000</v>
      </c>
      <c r="I12" s="71">
        <f t="shared" si="0"/>
        <v>271698000</v>
      </c>
      <c r="J12" s="157">
        <f t="shared" si="0"/>
        <v>0</v>
      </c>
    </row>
    <row r="13" spans="2:10" x14ac:dyDescent="0.2">
      <c r="B13" s="63" t="s">
        <v>224</v>
      </c>
      <c r="C13" s="44"/>
      <c r="D13" s="153"/>
      <c r="E13" s="153"/>
      <c r="F13" s="153"/>
      <c r="G13" s="153"/>
      <c r="H13" s="153"/>
      <c r="I13" s="153"/>
      <c r="J13" s="85"/>
    </row>
    <row r="14" spans="2:10" x14ac:dyDescent="0.2">
      <c r="B14" s="62" t="s">
        <v>202</v>
      </c>
      <c r="C14" s="44"/>
      <c r="D14" s="70">
        <v>3650000</v>
      </c>
      <c r="E14" s="70">
        <v>5500000</v>
      </c>
      <c r="F14" s="70">
        <v>7500000</v>
      </c>
      <c r="G14" s="70">
        <v>9500000</v>
      </c>
      <c r="H14" s="70">
        <v>11500000</v>
      </c>
      <c r="I14" s="70">
        <v>12500000</v>
      </c>
      <c r="J14" s="156"/>
    </row>
    <row r="15" spans="2:10" x14ac:dyDescent="0.2">
      <c r="B15" s="62" t="s">
        <v>145</v>
      </c>
      <c r="C15" s="44"/>
      <c r="D15" s="70">
        <v>75000000</v>
      </c>
      <c r="E15" s="70">
        <v>68000000</v>
      </c>
      <c r="F15" s="70">
        <v>85000000</v>
      </c>
      <c r="G15" s="70">
        <v>102000000</v>
      </c>
      <c r="H15" s="70">
        <v>102000000</v>
      </c>
      <c r="I15" s="70">
        <v>68000000</v>
      </c>
      <c r="J15" s="156" t="s">
        <v>195</v>
      </c>
    </row>
    <row r="16" spans="2:10" x14ac:dyDescent="0.2">
      <c r="B16" s="62" t="s">
        <v>160</v>
      </c>
      <c r="C16" s="44"/>
      <c r="D16" s="70">
        <v>0</v>
      </c>
      <c r="E16" s="70">
        <v>200000</v>
      </c>
      <c r="F16" s="70">
        <v>600000</v>
      </c>
      <c r="G16" s="70">
        <v>1000000</v>
      </c>
      <c r="H16" s="70">
        <v>1500000</v>
      </c>
      <c r="I16" s="70">
        <v>2000000</v>
      </c>
      <c r="J16" s="156"/>
    </row>
    <row r="17" spans="2:10" x14ac:dyDescent="0.2">
      <c r="B17" s="62" t="s">
        <v>184</v>
      </c>
      <c r="C17" s="44"/>
      <c r="D17" s="70">
        <v>840000</v>
      </c>
      <c r="E17" s="70">
        <v>1200000</v>
      </c>
      <c r="F17" s="70">
        <v>1800000</v>
      </c>
      <c r="G17" s="70">
        <v>2700000</v>
      </c>
      <c r="H17" s="70">
        <v>3600000</v>
      </c>
      <c r="I17" s="70">
        <v>4200000</v>
      </c>
      <c r="J17" s="156"/>
    </row>
    <row r="18" spans="2:10" x14ac:dyDescent="0.2">
      <c r="B18" s="62" t="s">
        <v>185</v>
      </c>
      <c r="C18" s="44"/>
      <c r="D18" s="70">
        <v>0</v>
      </c>
      <c r="E18" s="70">
        <v>300000</v>
      </c>
      <c r="F18" s="70">
        <v>900000</v>
      </c>
      <c r="G18" s="70">
        <v>2100000</v>
      </c>
      <c r="H18" s="70">
        <v>3300000</v>
      </c>
      <c r="I18" s="70">
        <v>4800000</v>
      </c>
      <c r="J18" s="156"/>
    </row>
    <row r="19" spans="2:10" x14ac:dyDescent="0.2">
      <c r="B19" s="62" t="s">
        <v>200</v>
      </c>
      <c r="C19" s="44"/>
      <c r="D19" s="70">
        <v>0</v>
      </c>
      <c r="E19" s="70">
        <v>29000</v>
      </c>
      <c r="F19" s="70">
        <v>148000</v>
      </c>
      <c r="G19" s="70">
        <v>267000</v>
      </c>
      <c r="H19" s="70">
        <v>374000</v>
      </c>
      <c r="I19" s="70">
        <v>475000</v>
      </c>
      <c r="J19" s="156"/>
    </row>
    <row r="20" spans="2:10" x14ac:dyDescent="0.2">
      <c r="B20" s="72" t="s">
        <v>225</v>
      </c>
      <c r="C20" s="60"/>
      <c r="D20" s="73">
        <f t="shared" ref="D20:I20" si="1">SUM(D14:D19)</f>
        <v>79490000</v>
      </c>
      <c r="E20" s="73">
        <f t="shared" si="1"/>
        <v>75229000</v>
      </c>
      <c r="F20" s="73">
        <f t="shared" si="1"/>
        <v>95948000</v>
      </c>
      <c r="G20" s="73">
        <f t="shared" si="1"/>
        <v>117567000</v>
      </c>
      <c r="H20" s="73">
        <f t="shared" si="1"/>
        <v>122274000</v>
      </c>
      <c r="I20" s="73">
        <f t="shared" si="1"/>
        <v>91975000</v>
      </c>
      <c r="J20" s="158"/>
    </row>
    <row r="21" spans="2:10" x14ac:dyDescent="0.2">
      <c r="B21" s="44"/>
      <c r="C21" s="44"/>
      <c r="D21" s="152">
        <f>D20/D12</f>
        <v>0.56117982604766747</v>
      </c>
      <c r="E21" s="152">
        <f t="shared" ref="E21:I21" si="2">E20/E12</f>
        <v>0.52000774181061593</v>
      </c>
      <c r="F21" s="152">
        <f t="shared" si="2"/>
        <v>0.49929488413723477</v>
      </c>
      <c r="G21" s="152">
        <f t="shared" si="2"/>
        <v>0.48730415319572246</v>
      </c>
      <c r="H21" s="152">
        <f t="shared" si="2"/>
        <v>0.44263042817219561</v>
      </c>
      <c r="I21" s="152">
        <f t="shared" si="2"/>
        <v>0.33851923827190483</v>
      </c>
      <c r="J21" s="85"/>
    </row>
    <row r="22" spans="2:10" x14ac:dyDescent="0.2">
      <c r="B22" s="63" t="s">
        <v>226</v>
      </c>
      <c r="C22" s="63"/>
      <c r="D22" s="74">
        <f t="shared" ref="D22:I22" si="3">D12-D20</f>
        <v>62158000</v>
      </c>
      <c r="E22" s="74">
        <f t="shared" si="3"/>
        <v>69440000</v>
      </c>
      <c r="F22" s="74">
        <f t="shared" si="3"/>
        <v>96219000</v>
      </c>
      <c r="G22" s="74">
        <f t="shared" si="3"/>
        <v>123693000</v>
      </c>
      <c r="H22" s="74">
        <f t="shared" si="3"/>
        <v>153970000</v>
      </c>
      <c r="I22" s="74">
        <f t="shared" si="3"/>
        <v>179723000</v>
      </c>
      <c r="J22" s="155"/>
    </row>
    <row r="24" spans="2:10" s="42" customFormat="1" x14ac:dyDescent="0.2">
      <c r="B24" s="42" t="s">
        <v>316</v>
      </c>
      <c r="D24" s="82">
        <f>D5/(1000*5)</f>
        <v>7993.6</v>
      </c>
      <c r="E24" s="82">
        <f t="shared" ref="E24:I24" si="4">E5/(1000*5)</f>
        <v>12045</v>
      </c>
      <c r="F24" s="82">
        <f t="shared" si="4"/>
        <v>16425</v>
      </c>
      <c r="G24" s="82">
        <f t="shared" si="4"/>
        <v>20805</v>
      </c>
      <c r="H24" s="82">
        <f t="shared" si="4"/>
        <v>25185</v>
      </c>
      <c r="I24" s="82">
        <f t="shared" si="4"/>
        <v>27375</v>
      </c>
      <c r="J24" s="159"/>
    </row>
    <row r="25" spans="2:10" s="42" customFormat="1" x14ac:dyDescent="0.2">
      <c r="B25" s="42" t="s">
        <v>319</v>
      </c>
      <c r="E25" s="82">
        <f>E24-D24</f>
        <v>4051.3999999999996</v>
      </c>
      <c r="F25" s="82">
        <f t="shared" ref="F25:I25" si="5">F24-E24</f>
        <v>4380</v>
      </c>
      <c r="G25" s="82">
        <f t="shared" si="5"/>
        <v>4380</v>
      </c>
      <c r="H25" s="82">
        <f t="shared" si="5"/>
        <v>4380</v>
      </c>
      <c r="I25" s="82">
        <f t="shared" si="5"/>
        <v>2190</v>
      </c>
      <c r="J25" s="159"/>
    </row>
    <row r="27" spans="2:10" s="42" customFormat="1" x14ac:dyDescent="0.2">
      <c r="B27" s="42" t="s">
        <v>317</v>
      </c>
      <c r="D27" s="154">
        <f>D6/100000</f>
        <v>1000</v>
      </c>
      <c r="E27" s="154">
        <f t="shared" ref="E27:I27" si="6">E6/100000</f>
        <v>800</v>
      </c>
      <c r="F27" s="154">
        <f t="shared" si="6"/>
        <v>1000</v>
      </c>
      <c r="G27" s="154">
        <f t="shared" si="6"/>
        <v>1200</v>
      </c>
      <c r="H27" s="154">
        <f t="shared" si="6"/>
        <v>1200</v>
      </c>
      <c r="I27" s="154">
        <f t="shared" si="6"/>
        <v>800</v>
      </c>
      <c r="J27" s="159"/>
    </row>
    <row r="28" spans="2:10" x14ac:dyDescent="0.2">
      <c r="D28" s="164">
        <f>D14/D5</f>
        <v>9.1323058446757407E-2</v>
      </c>
      <c r="E28" s="164">
        <f t="shared" ref="E28:I29" si="7">E14/E5</f>
        <v>9.1324200913242004E-2</v>
      </c>
      <c r="F28" s="164">
        <f t="shared" si="7"/>
        <v>9.1324200913242004E-2</v>
      </c>
      <c r="G28" s="164">
        <f t="shared" si="7"/>
        <v>9.1324200913242004E-2</v>
      </c>
      <c r="H28" s="164">
        <f t="shared" si="7"/>
        <v>9.1324200913242004E-2</v>
      </c>
      <c r="I28" s="164">
        <f t="shared" si="7"/>
        <v>9.1324200913242004E-2</v>
      </c>
    </row>
    <row r="29" spans="2:10" x14ac:dyDescent="0.2">
      <c r="D29" s="164">
        <f>D15/D6</f>
        <v>0.75</v>
      </c>
      <c r="E29" s="164">
        <f t="shared" si="7"/>
        <v>0.85</v>
      </c>
      <c r="F29" s="164">
        <f t="shared" si="7"/>
        <v>0.85</v>
      </c>
      <c r="G29" s="164">
        <f t="shared" si="7"/>
        <v>0.85</v>
      </c>
      <c r="H29" s="164">
        <f t="shared" si="7"/>
        <v>0.85</v>
      </c>
      <c r="I29" s="164">
        <f t="shared" si="7"/>
        <v>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FE9D-DB62-4E99-AC5B-6434C98E2C58}">
  <dimension ref="A1:C22"/>
  <sheetViews>
    <sheetView workbookViewId="0">
      <selection sqref="A1:C22"/>
    </sheetView>
  </sheetViews>
  <sheetFormatPr baseColWidth="10" defaultColWidth="8.83203125" defaultRowHeight="15" x14ac:dyDescent="0.2"/>
  <cols>
    <col min="1" max="1" width="23.33203125" bestFit="1" customWidth="1"/>
    <col min="2" max="2" width="53" bestFit="1" customWidth="1"/>
    <col min="3" max="3" width="59.83203125" bestFit="1" customWidth="1"/>
  </cols>
  <sheetData>
    <row r="1" spans="1:3" ht="16" x14ac:dyDescent="0.2">
      <c r="A1" s="180" t="s">
        <v>249</v>
      </c>
      <c r="B1" s="180" t="s">
        <v>250</v>
      </c>
      <c r="C1" s="180" t="s">
        <v>251</v>
      </c>
    </row>
    <row r="2" spans="1:3" ht="16" x14ac:dyDescent="0.2">
      <c r="A2" s="176" t="s">
        <v>252</v>
      </c>
      <c r="B2" s="177" t="s">
        <v>253</v>
      </c>
      <c r="C2" s="177" t="s">
        <v>254</v>
      </c>
    </row>
    <row r="3" spans="1:3" ht="16" x14ac:dyDescent="0.2">
      <c r="A3" s="176" t="s">
        <v>255</v>
      </c>
      <c r="B3" s="177" t="s">
        <v>256</v>
      </c>
      <c r="C3" s="177" t="s">
        <v>257</v>
      </c>
    </row>
    <row r="4" spans="1:3" ht="16" x14ac:dyDescent="0.2">
      <c r="A4" s="176" t="s">
        <v>258</v>
      </c>
      <c r="B4" s="177" t="s">
        <v>259</v>
      </c>
      <c r="C4" s="177" t="s">
        <v>260</v>
      </c>
    </row>
    <row r="5" spans="1:3" ht="16" x14ac:dyDescent="0.2">
      <c r="A5" s="176" t="s">
        <v>261</v>
      </c>
      <c r="B5" s="177" t="s">
        <v>262</v>
      </c>
      <c r="C5" s="177" t="s">
        <v>263</v>
      </c>
    </row>
    <row r="6" spans="1:3" ht="32" x14ac:dyDescent="0.2">
      <c r="A6" s="178" t="s">
        <v>264</v>
      </c>
      <c r="B6" s="179" t="s">
        <v>265</v>
      </c>
      <c r="C6" s="179" t="s">
        <v>266</v>
      </c>
    </row>
    <row r="7" spans="1:3" ht="16" x14ac:dyDescent="0.2">
      <c r="A7" s="176" t="s">
        <v>267</v>
      </c>
      <c r="B7" s="177" t="s">
        <v>268</v>
      </c>
      <c r="C7" s="177" t="s">
        <v>269</v>
      </c>
    </row>
    <row r="8" spans="1:3" ht="16" x14ac:dyDescent="0.2">
      <c r="A8" s="176" t="s">
        <v>270</v>
      </c>
      <c r="B8" s="177" t="s">
        <v>271</v>
      </c>
      <c r="C8" s="177" t="s">
        <v>272</v>
      </c>
    </row>
    <row r="9" spans="1:3" ht="16" x14ac:dyDescent="0.2">
      <c r="A9" s="176" t="s">
        <v>273</v>
      </c>
      <c r="B9" s="177" t="s">
        <v>274</v>
      </c>
      <c r="C9" s="177" t="s">
        <v>275</v>
      </c>
    </row>
    <row r="10" spans="1:3" ht="16" x14ac:dyDescent="0.2">
      <c r="A10" s="176" t="s">
        <v>276</v>
      </c>
      <c r="B10" s="177" t="s">
        <v>277</v>
      </c>
      <c r="C10" s="177" t="s">
        <v>278</v>
      </c>
    </row>
    <row r="11" spans="1:3" ht="16" x14ac:dyDescent="0.2">
      <c r="A11" s="176" t="s">
        <v>279</v>
      </c>
      <c r="B11" s="177" t="s">
        <v>280</v>
      </c>
      <c r="C11" s="177" t="s">
        <v>281</v>
      </c>
    </row>
    <row r="12" spans="1:3" ht="16" x14ac:dyDescent="0.2">
      <c r="A12" s="176" t="s">
        <v>282</v>
      </c>
      <c r="B12" s="177" t="s">
        <v>283</v>
      </c>
      <c r="C12" s="177" t="s">
        <v>284</v>
      </c>
    </row>
    <row r="13" spans="1:3" ht="16" x14ac:dyDescent="0.2">
      <c r="A13" s="176" t="s">
        <v>285</v>
      </c>
      <c r="B13" s="177" t="s">
        <v>286</v>
      </c>
      <c r="C13" s="177" t="s">
        <v>287</v>
      </c>
    </row>
    <row r="14" spans="1:3" ht="16" x14ac:dyDescent="0.2">
      <c r="A14" s="176" t="s">
        <v>288</v>
      </c>
      <c r="B14" s="177" t="s">
        <v>289</v>
      </c>
      <c r="C14" s="177" t="s">
        <v>290</v>
      </c>
    </row>
    <row r="15" spans="1:3" ht="16" x14ac:dyDescent="0.2">
      <c r="A15" s="176" t="s">
        <v>291</v>
      </c>
      <c r="B15" s="177" t="s">
        <v>292</v>
      </c>
      <c r="C15" s="177" t="s">
        <v>293</v>
      </c>
    </row>
    <row r="16" spans="1:3" ht="16" x14ac:dyDescent="0.2">
      <c r="A16" s="176" t="s">
        <v>294</v>
      </c>
      <c r="B16" s="177" t="s">
        <v>295</v>
      </c>
      <c r="C16" s="177" t="s">
        <v>296</v>
      </c>
    </row>
    <row r="17" spans="1:3" ht="16" x14ac:dyDescent="0.2">
      <c r="A17" s="176" t="s">
        <v>297</v>
      </c>
      <c r="B17" s="177" t="s">
        <v>298</v>
      </c>
      <c r="C17" s="177" t="s">
        <v>299</v>
      </c>
    </row>
    <row r="18" spans="1:3" ht="16" x14ac:dyDescent="0.2">
      <c r="A18" s="176" t="s">
        <v>300</v>
      </c>
      <c r="B18" s="177" t="s">
        <v>301</v>
      </c>
      <c r="C18" s="177" t="s">
        <v>302</v>
      </c>
    </row>
    <row r="19" spans="1:3" ht="16" x14ac:dyDescent="0.2">
      <c r="A19" s="176" t="s">
        <v>303</v>
      </c>
      <c r="B19" s="177" t="s">
        <v>304</v>
      </c>
      <c r="C19" s="177" t="s">
        <v>305</v>
      </c>
    </row>
    <row r="20" spans="1:3" ht="16" x14ac:dyDescent="0.2">
      <c r="A20" s="176" t="s">
        <v>306</v>
      </c>
      <c r="B20" s="177" t="s">
        <v>307</v>
      </c>
      <c r="C20" s="177" t="s">
        <v>308</v>
      </c>
    </row>
    <row r="21" spans="1:3" ht="16" x14ac:dyDescent="0.2">
      <c r="A21" s="176" t="s">
        <v>309</v>
      </c>
      <c r="B21" s="177" t="s">
        <v>310</v>
      </c>
      <c r="C21" s="177" t="s">
        <v>311</v>
      </c>
    </row>
    <row r="22" spans="1:3" ht="16" x14ac:dyDescent="0.2">
      <c r="A22" s="176" t="s">
        <v>312</v>
      </c>
      <c r="B22" s="177" t="s">
        <v>313</v>
      </c>
      <c r="C22" s="177" t="s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F73E-5885-4474-8FC8-69AC436CC6A2}">
  <dimension ref="B2:C5"/>
  <sheetViews>
    <sheetView showGridLines="0" workbookViewId="0">
      <selection activeCell="C4" sqref="C4"/>
    </sheetView>
  </sheetViews>
  <sheetFormatPr baseColWidth="10" defaultColWidth="8.83203125" defaultRowHeight="15" x14ac:dyDescent="0.2"/>
  <cols>
    <col min="2" max="2" width="7.33203125" bestFit="1" customWidth="1"/>
    <col min="3" max="3" width="28.5" bestFit="1" customWidth="1"/>
  </cols>
  <sheetData>
    <row r="2" spans="2:3" x14ac:dyDescent="0.2">
      <c r="B2" s="42" t="s">
        <v>172</v>
      </c>
      <c r="C2" t="s">
        <v>173</v>
      </c>
    </row>
    <row r="3" spans="2:3" x14ac:dyDescent="0.2">
      <c r="C3" t="s">
        <v>174</v>
      </c>
    </row>
    <row r="4" spans="2:3" x14ac:dyDescent="0.2">
      <c r="C4" t="s">
        <v>175</v>
      </c>
    </row>
    <row r="5" spans="2:3" x14ac:dyDescent="0.2">
      <c r="C5" t="s">
        <v>321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3FD0-3787-4730-BDF6-09AD9C4A5088}">
  <dimension ref="B2:O33"/>
  <sheetViews>
    <sheetView showGridLines="0" tabSelected="1" topLeftCell="E6" zoomScale="200" zoomScaleNormal="100" workbookViewId="0">
      <selection activeCell="M25" sqref="M25"/>
    </sheetView>
  </sheetViews>
  <sheetFormatPr baseColWidth="10" defaultColWidth="8.6640625" defaultRowHeight="12" x14ac:dyDescent="0.2"/>
  <cols>
    <col min="1" max="1" width="8.6640625" style="86"/>
    <col min="2" max="2" width="26.1640625" style="149" bestFit="1" customWidth="1"/>
    <col min="3" max="3" width="11.33203125" style="149" bestFit="1" customWidth="1"/>
    <col min="4" max="6" width="11.33203125" style="95" bestFit="1" customWidth="1"/>
    <col min="7" max="7" width="26.83203125" style="86" bestFit="1" customWidth="1"/>
    <col min="8" max="16384" width="8.6640625" style="86"/>
  </cols>
  <sheetData>
    <row r="2" spans="2:6" s="92" customFormat="1" x14ac:dyDescent="0.2">
      <c r="B2" s="89" t="str">
        <f>'Historical SOPL'!B2:F2</f>
        <v>Simple Energy Private Limited</v>
      </c>
      <c r="C2" s="89"/>
      <c r="D2" s="90"/>
      <c r="E2" s="91"/>
      <c r="F2" s="91"/>
    </row>
    <row r="3" spans="2:6" s="92" customFormat="1" x14ac:dyDescent="0.2">
      <c r="B3" s="89" t="s">
        <v>9</v>
      </c>
      <c r="C3" s="89"/>
      <c r="D3" s="90"/>
      <c r="E3" s="91"/>
      <c r="F3" s="91"/>
    </row>
    <row r="4" spans="2:6" x14ac:dyDescent="0.2">
      <c r="B4" s="93"/>
      <c r="C4" s="93"/>
      <c r="D4" s="94"/>
    </row>
    <row r="5" spans="2:6" x14ac:dyDescent="0.2">
      <c r="B5" s="96" t="s">
        <v>10</v>
      </c>
      <c r="C5" s="97" t="s">
        <v>42</v>
      </c>
      <c r="D5" s="98" t="s">
        <v>42</v>
      </c>
      <c r="E5" s="97" t="str">
        <f>'Historical SOPL'!E6</f>
        <v>FY 2080/81</v>
      </c>
      <c r="F5" s="98" t="str">
        <f>'Historical SOPL'!F6</f>
        <v>FY 2081/82</v>
      </c>
    </row>
    <row r="6" spans="2:6" ht="13" thickBot="1" x14ac:dyDescent="0.25">
      <c r="B6" s="99" t="s">
        <v>11</v>
      </c>
      <c r="C6" s="100"/>
      <c r="D6" s="101"/>
      <c r="E6" s="102"/>
      <c r="F6" s="103"/>
    </row>
    <row r="7" spans="2:6" ht="13" thickTop="1" x14ac:dyDescent="0.2">
      <c r="B7" s="93" t="s">
        <v>12</v>
      </c>
      <c r="C7" s="104"/>
      <c r="D7" s="105">
        <f>'Historical SOPL'!D9/'Historical SOPL'!D7</f>
        <v>0.89143888388066761</v>
      </c>
      <c r="E7" s="104">
        <f>'Historical SOPL'!E9/'Historical SOPL'!E7</f>
        <v>1</v>
      </c>
      <c r="F7" s="105">
        <f>'Historical SOPL'!F9/'Historical SOPL'!F7</f>
        <v>0.54927604280540643</v>
      </c>
    </row>
    <row r="8" spans="2:6" x14ac:dyDescent="0.2">
      <c r="B8" s="93" t="s">
        <v>13</v>
      </c>
      <c r="C8" s="104"/>
      <c r="D8" s="105">
        <f>'Historical SOPL'!D14/'Historical SOPL'!D7</f>
        <v>0.48854866524721247</v>
      </c>
      <c r="E8" s="104">
        <f>'Historical SOPL'!E14/'Historical SOPL'!E7</f>
        <v>1.1306256728243551</v>
      </c>
      <c r="F8" s="105">
        <f>'Historical SOPL'!F14/'Historical SOPL'!F7</f>
        <v>0.5227491655068055</v>
      </c>
    </row>
    <row r="9" spans="2:6" x14ac:dyDescent="0.2">
      <c r="B9" s="93" t="s">
        <v>14</v>
      </c>
      <c r="C9" s="106"/>
      <c r="D9" s="107">
        <f>'Historical SOPL'!D20/'Historical SOPL'!D7</f>
        <v>-0.54474991887445801</v>
      </c>
      <c r="E9" s="104">
        <f>'Historical SOPL'!E20/'Historical SOPL'!E7</f>
        <v>0.24083944658679354</v>
      </c>
      <c r="F9" s="105">
        <f>'Historical SOPL'!F20/'Historical SOPL'!F7</f>
        <v>0.3105442966749794</v>
      </c>
    </row>
    <row r="10" spans="2:6" x14ac:dyDescent="0.2">
      <c r="B10" s="93" t="s">
        <v>15</v>
      </c>
      <c r="C10" s="106">
        <f>'Historical SOPL'!C20/'Historical SOFP'!C21</f>
        <v>-6.9970972364595499E-2</v>
      </c>
      <c r="D10" s="107">
        <f>'Historical SOPL'!D20/'Historical SOFP'!D21</f>
        <v>-2.4352811087408766E-2</v>
      </c>
      <c r="E10" s="104">
        <f>'Historical SOPL'!E20/'Historical SOFP'!E21</f>
        <v>1.8715998306336506E-2</v>
      </c>
      <c r="F10" s="105">
        <f>'Historical SOPL'!F20/'Historical SOFP'!F21</f>
        <v>9.8267515291212401E-2</v>
      </c>
    </row>
    <row r="11" spans="2:6" x14ac:dyDescent="0.2">
      <c r="B11" s="93" t="s">
        <v>16</v>
      </c>
      <c r="C11" s="106">
        <f>'Historical SOPL'!C20/'Historical SOFP'!C36</f>
        <v>-8.115543877913331E-2</v>
      </c>
      <c r="D11" s="107">
        <f>'Historical SOPL'!D20/'Historical SOFP'!D36</f>
        <v>-2.4659232040714605E-2</v>
      </c>
      <c r="E11" s="104">
        <f>'Historical SOPL'!E20/'Historical SOFP'!E36</f>
        <v>1.9088888269613205E-2</v>
      </c>
      <c r="F11" s="105">
        <f>'Historical SOPL'!F20/'Historical SOFP'!F36</f>
        <v>0.10077582374400862</v>
      </c>
    </row>
    <row r="12" spans="2:6" x14ac:dyDescent="0.2">
      <c r="B12" s="93"/>
      <c r="C12" s="108"/>
      <c r="D12" s="109"/>
      <c r="E12" s="110"/>
      <c r="F12" s="111"/>
    </row>
    <row r="13" spans="2:6" ht="13" thickBot="1" x14ac:dyDescent="0.25">
      <c r="B13" s="99" t="s">
        <v>17</v>
      </c>
      <c r="C13" s="112"/>
      <c r="D13" s="113"/>
      <c r="E13" s="114"/>
      <c r="F13" s="115"/>
    </row>
    <row r="14" spans="2:6" ht="13" thickTop="1" x14ac:dyDescent="0.2">
      <c r="B14" s="93" t="s">
        <v>18</v>
      </c>
      <c r="C14" s="116">
        <f>'Historical SOFP'!C20/'Historical SOFP'!C30</f>
        <v>0.40989080548846318</v>
      </c>
      <c r="D14" s="117">
        <f>'Historical SOFP'!D20/'Historical SOFP'!D30</f>
        <v>16.176755466248494</v>
      </c>
      <c r="E14" s="116">
        <f>'Historical SOFP'!E20/'Historical SOFP'!E30</f>
        <v>15.357992034302738</v>
      </c>
      <c r="F14" s="117">
        <f>'Historical SOFP'!F20/'Historical SOFP'!F30</f>
        <v>13.00888819578835</v>
      </c>
    </row>
    <row r="15" spans="2:6" x14ac:dyDescent="0.2">
      <c r="B15" s="93" t="s">
        <v>19</v>
      </c>
      <c r="C15" s="116">
        <f>('Historical SOFP'!C20-'Historical SOFP'!C14)/'Historical SOFP'!C30</f>
        <v>0.40989080548846318</v>
      </c>
      <c r="D15" s="117">
        <f>('Historical SOFP'!D20-'Historical SOFP'!D14)/'Historical SOFP'!D30</f>
        <v>16.176755466248494</v>
      </c>
      <c r="E15" s="116">
        <f>('Historical SOFP'!E20-'Historical SOFP'!E14)/'Historical SOFP'!E30</f>
        <v>15.357992034302738</v>
      </c>
      <c r="F15" s="117">
        <f>('Historical SOFP'!F20-'Historical SOFP'!F14)/'Historical SOFP'!F30</f>
        <v>13.00888819578835</v>
      </c>
    </row>
    <row r="16" spans="2:6" x14ac:dyDescent="0.2">
      <c r="B16" s="93"/>
      <c r="C16" s="108"/>
      <c r="D16" s="109"/>
      <c r="E16" s="110"/>
      <c r="F16" s="111"/>
    </row>
    <row r="17" spans="2:15" ht="13" thickBot="1" x14ac:dyDescent="0.25">
      <c r="B17" s="99" t="s">
        <v>20</v>
      </c>
      <c r="C17" s="112"/>
      <c r="D17" s="113"/>
      <c r="E17" s="114"/>
      <c r="F17" s="115"/>
    </row>
    <row r="18" spans="2:15" ht="13" thickTop="1" x14ac:dyDescent="0.2">
      <c r="B18" s="93" t="s">
        <v>21</v>
      </c>
      <c r="C18" s="108"/>
      <c r="D18" s="118"/>
      <c r="E18" s="119"/>
      <c r="F18" s="118"/>
    </row>
    <row r="19" spans="2:15" x14ac:dyDescent="0.2">
      <c r="B19" s="93" t="s">
        <v>22</v>
      </c>
      <c r="C19" s="108"/>
      <c r="D19" s="120"/>
      <c r="E19" s="121"/>
      <c r="F19" s="120"/>
    </row>
    <row r="20" spans="2:15" x14ac:dyDescent="0.2">
      <c r="B20" s="93"/>
      <c r="C20" s="108"/>
      <c r="D20" s="109"/>
      <c r="E20" s="110"/>
      <c r="F20" s="111"/>
      <c r="I20" s="86" t="s">
        <v>322</v>
      </c>
      <c r="J20" s="86" t="s">
        <v>322</v>
      </c>
      <c r="K20" s="86" t="s">
        <v>323</v>
      </c>
      <c r="L20" s="86" t="s">
        <v>324</v>
      </c>
    </row>
    <row r="21" spans="2:15" x14ac:dyDescent="0.2">
      <c r="B21" s="93" t="s">
        <v>23</v>
      </c>
      <c r="C21" s="116">
        <f>'Historical SOPL'!C7/'Historical SOFP'!C15</f>
        <v>0</v>
      </c>
      <c r="D21" s="117">
        <f>'Historical SOPL'!D7/'Historical SOFP'!D15</f>
        <v>2.027062959852572</v>
      </c>
      <c r="E21" s="116">
        <f>'Historical SOPL'!E7/'Historical SOFP'!E15</f>
        <v>1.849329370497995</v>
      </c>
      <c r="F21" s="117">
        <f>'Historical SOPL'!F7/'Historical SOFP'!F15</f>
        <v>2.1794898193803154</v>
      </c>
      <c r="H21" s="86" t="s">
        <v>326</v>
      </c>
      <c r="I21" s="202">
        <v>92.466661666666667</v>
      </c>
      <c r="J21" s="202">
        <v>94.007058536585362</v>
      </c>
      <c r="K21" s="202">
        <v>97.681664604873404</v>
      </c>
      <c r="L21" s="202">
        <v>108.62882443735742</v>
      </c>
      <c r="M21" s="201"/>
      <c r="N21" s="201"/>
      <c r="O21" s="201"/>
    </row>
    <row r="22" spans="2:15" x14ac:dyDescent="0.2">
      <c r="B22" s="122" t="s">
        <v>24</v>
      </c>
      <c r="C22" s="123"/>
      <c r="D22" s="124">
        <f t="shared" ref="D22:F22" si="0">365/D21</f>
        <v>180.06347470655101</v>
      </c>
      <c r="E22" s="123">
        <f t="shared" si="0"/>
        <v>197.36884398354161</v>
      </c>
      <c r="F22" s="124">
        <f t="shared" si="0"/>
        <v>167.47038538761279</v>
      </c>
      <c r="H22" s="86" t="s">
        <v>325</v>
      </c>
      <c r="I22" s="202">
        <v>-7.5041725000000001</v>
      </c>
      <c r="J22" s="202">
        <v>-2.3181418699186991</v>
      </c>
      <c r="K22" s="202">
        <v>1.8646343816322593</v>
      </c>
      <c r="L22" s="202">
        <v>10.947159265017989</v>
      </c>
    </row>
    <row r="23" spans="2:15" x14ac:dyDescent="0.2">
      <c r="B23" s="122"/>
      <c r="C23" s="125"/>
      <c r="D23" s="126"/>
      <c r="E23" s="110"/>
      <c r="F23" s="111"/>
    </row>
    <row r="24" spans="2:15" s="87" customFormat="1" ht="13" thickBot="1" x14ac:dyDescent="0.25">
      <c r="B24" s="127" t="s">
        <v>25</v>
      </c>
      <c r="C24" s="128">
        <f>'Historical SOFP'!C32/100</f>
        <v>1200000</v>
      </c>
      <c r="D24" s="129">
        <f>'Historical SOFP'!D32/100</f>
        <v>2460000</v>
      </c>
      <c r="E24" s="128">
        <f>'Historical SOFP'!E32/100</f>
        <v>3524440</v>
      </c>
      <c r="F24" s="129">
        <f>'Historical SOFP'!F32/100</f>
        <v>3524440</v>
      </c>
      <c r="G24" s="88"/>
    </row>
    <row r="25" spans="2:15" ht="13" thickTop="1" x14ac:dyDescent="0.2">
      <c r="B25" s="130"/>
      <c r="C25" s="131"/>
      <c r="D25" s="132"/>
      <c r="E25" s="133"/>
      <c r="F25" s="134"/>
    </row>
    <row r="26" spans="2:15" x14ac:dyDescent="0.2">
      <c r="B26" s="93" t="s">
        <v>26</v>
      </c>
      <c r="C26" s="135">
        <f>'Historical SOPL'!C20</f>
        <v>-9005007</v>
      </c>
      <c r="D26" s="136">
        <f>'Historical SOPL'!D20</f>
        <v>-5702629</v>
      </c>
      <c r="E26" s="135">
        <f>'Historical SOPL'!E20</f>
        <v>6571792</v>
      </c>
      <c r="F26" s="136">
        <f>'Historical SOPL'!F20</f>
        <v>38582606</v>
      </c>
    </row>
    <row r="27" spans="2:15" x14ac:dyDescent="0.2">
      <c r="B27" s="93"/>
      <c r="C27" s="108"/>
      <c r="D27" s="109"/>
      <c r="E27" s="110"/>
      <c r="F27" s="111"/>
    </row>
    <row r="28" spans="2:15" s="87" customFormat="1" x14ac:dyDescent="0.2">
      <c r="B28" s="137" t="s">
        <v>27</v>
      </c>
      <c r="C28" s="138">
        <f t="shared" ref="C28:F28" si="1">C26/C24</f>
        <v>-7.5041725000000001</v>
      </c>
      <c r="D28" s="138">
        <f t="shared" si="1"/>
        <v>-2.3181418699186991</v>
      </c>
      <c r="E28" s="138">
        <f t="shared" si="1"/>
        <v>1.8646343816322593</v>
      </c>
      <c r="F28" s="139">
        <f t="shared" si="1"/>
        <v>10.947159265017989</v>
      </c>
    </row>
    <row r="29" spans="2:15" x14ac:dyDescent="0.2">
      <c r="B29" s="93"/>
      <c r="C29" s="108"/>
      <c r="D29" s="109"/>
      <c r="E29" s="110"/>
      <c r="F29" s="111"/>
    </row>
    <row r="30" spans="2:15" x14ac:dyDescent="0.2">
      <c r="B30" s="93" t="s">
        <v>28</v>
      </c>
      <c r="C30" s="135">
        <f>'Historical SOFP'!C36</f>
        <v>110959994</v>
      </c>
      <c r="D30" s="136">
        <f>'Historical SOFP'!D36</f>
        <v>231257364</v>
      </c>
      <c r="E30" s="135">
        <f>'Historical SOFP'!E36</f>
        <v>344273166</v>
      </c>
      <c r="F30" s="136">
        <f>'Historical SOFP'!F36</f>
        <v>382855774</v>
      </c>
    </row>
    <row r="31" spans="2:15" s="143" customFormat="1" x14ac:dyDescent="0.2">
      <c r="B31" s="140" t="s">
        <v>29</v>
      </c>
      <c r="C31" s="141">
        <f>C30/C24</f>
        <v>92.466661666666667</v>
      </c>
      <c r="D31" s="142">
        <f t="shared" ref="D31:F31" si="2">D30/D24</f>
        <v>94.007058536585362</v>
      </c>
      <c r="E31" s="141">
        <f t="shared" si="2"/>
        <v>97.681664604873404</v>
      </c>
      <c r="F31" s="142">
        <f t="shared" si="2"/>
        <v>108.62882443735742</v>
      </c>
    </row>
    <row r="32" spans="2:15" s="143" customFormat="1" x14ac:dyDescent="0.2">
      <c r="B32" s="89" t="s">
        <v>40</v>
      </c>
      <c r="C32" s="144"/>
      <c r="D32" s="145"/>
      <c r="E32" s="146"/>
      <c r="F32" s="147">
        <v>300</v>
      </c>
    </row>
    <row r="33" spans="2:6" s="143" customFormat="1" x14ac:dyDescent="0.2">
      <c r="B33" s="89" t="s">
        <v>41</v>
      </c>
      <c r="C33" s="144"/>
      <c r="D33" s="148"/>
      <c r="E33" s="146"/>
      <c r="F33" s="147">
        <f>F32/F31</f>
        <v>2.7616979338020902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EE87-399D-41EA-9C82-D596CC224F40}">
  <dimension ref="B2:J63"/>
  <sheetViews>
    <sheetView showGridLines="0" topLeftCell="A37" workbookViewId="0">
      <selection activeCell="C12" sqref="C12"/>
    </sheetView>
  </sheetViews>
  <sheetFormatPr baseColWidth="10" defaultColWidth="8.83203125" defaultRowHeight="15" x14ac:dyDescent="0.2"/>
  <cols>
    <col min="2" max="2" width="3" bestFit="1" customWidth="1"/>
    <col min="3" max="3" width="39.83203125" bestFit="1" customWidth="1"/>
    <col min="4" max="4" width="11.1640625" bestFit="1" customWidth="1"/>
    <col min="5" max="5" width="13.83203125" style="41" bestFit="1" customWidth="1"/>
    <col min="6" max="6" width="14.83203125" style="41" bestFit="1" customWidth="1"/>
    <col min="7" max="7" width="6.1640625" bestFit="1" customWidth="1"/>
    <col min="8" max="8" width="11.5" bestFit="1" customWidth="1"/>
    <col min="9" max="9" width="14.83203125" bestFit="1" customWidth="1"/>
    <col min="10" max="10" width="29.33203125" customWidth="1"/>
  </cols>
  <sheetData>
    <row r="2" spans="2:10" x14ac:dyDescent="0.2">
      <c r="B2" s="42" t="s">
        <v>113</v>
      </c>
      <c r="C2" s="42" t="s">
        <v>114</v>
      </c>
      <c r="D2" s="42" t="s">
        <v>115</v>
      </c>
      <c r="E2" s="43" t="s">
        <v>116</v>
      </c>
      <c r="F2" s="43" t="s">
        <v>117</v>
      </c>
      <c r="G2" s="42" t="s">
        <v>118</v>
      </c>
      <c r="H2" s="42" t="s">
        <v>119</v>
      </c>
      <c r="I2" s="42" t="s">
        <v>215</v>
      </c>
    </row>
    <row r="3" spans="2:10" ht="16" x14ac:dyDescent="0.2">
      <c r="B3">
        <v>1</v>
      </c>
      <c r="C3" t="s">
        <v>120</v>
      </c>
      <c r="D3" t="s">
        <v>121</v>
      </c>
      <c r="E3" s="41">
        <v>500</v>
      </c>
      <c r="F3" s="41">
        <v>600.24</v>
      </c>
      <c r="G3" t="s">
        <v>122</v>
      </c>
      <c r="H3" t="s">
        <v>123</v>
      </c>
      <c r="I3" s="77">
        <f>F3*5*1500</f>
        <v>4501800</v>
      </c>
      <c r="J3" s="150" t="s">
        <v>315</v>
      </c>
    </row>
    <row r="4" spans="2:10" x14ac:dyDescent="0.2">
      <c r="B4">
        <v>2</v>
      </c>
      <c r="C4" t="s">
        <v>124</v>
      </c>
      <c r="D4" t="s">
        <v>125</v>
      </c>
      <c r="E4" s="41">
        <v>500</v>
      </c>
      <c r="F4" s="41">
        <v>599.4</v>
      </c>
      <c r="G4" t="s">
        <v>122</v>
      </c>
      <c r="H4" t="s">
        <v>123</v>
      </c>
      <c r="I4" s="77">
        <f t="shared" ref="I4:I13" si="0">F4*5*1500</f>
        <v>4495500</v>
      </c>
    </row>
    <row r="5" spans="2:10" x14ac:dyDescent="0.2">
      <c r="B5">
        <v>3</v>
      </c>
      <c r="C5" t="s">
        <v>126</v>
      </c>
      <c r="D5" t="s">
        <v>127</v>
      </c>
      <c r="E5" s="41">
        <v>300</v>
      </c>
      <c r="F5" s="41">
        <v>302.39999999999998</v>
      </c>
      <c r="G5" t="s">
        <v>122</v>
      </c>
      <c r="H5" t="s">
        <v>123</v>
      </c>
      <c r="I5" s="77">
        <f t="shared" si="0"/>
        <v>2268000</v>
      </c>
    </row>
    <row r="6" spans="2:10" x14ac:dyDescent="0.2">
      <c r="B6">
        <v>4</v>
      </c>
      <c r="C6" t="s">
        <v>128</v>
      </c>
      <c r="D6" t="s">
        <v>129</v>
      </c>
      <c r="E6" s="41">
        <v>300</v>
      </c>
      <c r="F6" s="41">
        <v>301.32</v>
      </c>
      <c r="G6" t="s">
        <v>122</v>
      </c>
      <c r="H6" t="s">
        <v>123</v>
      </c>
      <c r="I6" s="77">
        <f t="shared" si="0"/>
        <v>2259900</v>
      </c>
    </row>
    <row r="7" spans="2:10" x14ac:dyDescent="0.2">
      <c r="B7">
        <v>5</v>
      </c>
      <c r="C7" t="s">
        <v>130</v>
      </c>
      <c r="D7" t="s">
        <v>131</v>
      </c>
      <c r="E7" s="41">
        <v>500</v>
      </c>
      <c r="F7" s="41">
        <v>604.91999999999996</v>
      </c>
      <c r="G7" t="s">
        <v>122</v>
      </c>
      <c r="H7" t="s">
        <v>123</v>
      </c>
      <c r="I7" s="77">
        <f t="shared" si="0"/>
        <v>4536900</v>
      </c>
    </row>
    <row r="8" spans="2:10" x14ac:dyDescent="0.2">
      <c r="B8">
        <v>6</v>
      </c>
      <c r="C8" t="s">
        <v>132</v>
      </c>
      <c r="D8" t="s">
        <v>133</v>
      </c>
      <c r="E8" s="41">
        <v>500</v>
      </c>
      <c r="F8" s="41">
        <v>541.20000000000005</v>
      </c>
      <c r="G8" t="s">
        <v>122</v>
      </c>
      <c r="H8" t="s">
        <v>123</v>
      </c>
      <c r="I8" s="77">
        <f t="shared" si="0"/>
        <v>4059000</v>
      </c>
    </row>
    <row r="9" spans="2:10" x14ac:dyDescent="0.2">
      <c r="B9">
        <v>7</v>
      </c>
      <c r="C9" t="s">
        <v>134</v>
      </c>
      <c r="D9" t="s">
        <v>135</v>
      </c>
      <c r="E9" s="41">
        <v>500</v>
      </c>
      <c r="F9" s="41">
        <v>600.6</v>
      </c>
      <c r="G9" t="s">
        <v>122</v>
      </c>
      <c r="H9" t="s">
        <v>123</v>
      </c>
      <c r="I9" s="77">
        <f t="shared" si="0"/>
        <v>4504500</v>
      </c>
    </row>
    <row r="10" spans="2:10" x14ac:dyDescent="0.2">
      <c r="B10">
        <v>8</v>
      </c>
      <c r="C10" t="s">
        <v>136</v>
      </c>
      <c r="D10" t="s">
        <v>137</v>
      </c>
      <c r="E10" s="41">
        <v>500</v>
      </c>
      <c r="F10" s="41">
        <v>600.6</v>
      </c>
      <c r="G10" t="s">
        <v>122</v>
      </c>
      <c r="H10" t="s">
        <v>123</v>
      </c>
      <c r="I10" s="77">
        <f t="shared" si="0"/>
        <v>4504500</v>
      </c>
    </row>
    <row r="11" spans="2:10" x14ac:dyDescent="0.2">
      <c r="B11">
        <v>9</v>
      </c>
      <c r="C11" t="s">
        <v>138</v>
      </c>
      <c r="D11" t="s">
        <v>139</v>
      </c>
      <c r="E11" s="41">
        <v>350</v>
      </c>
      <c r="F11" s="41">
        <v>447.8</v>
      </c>
      <c r="G11" t="s">
        <v>122</v>
      </c>
      <c r="H11" t="s">
        <v>123</v>
      </c>
      <c r="I11" s="77">
        <f t="shared" si="0"/>
        <v>3358500</v>
      </c>
    </row>
    <row r="12" spans="2:10" x14ac:dyDescent="0.2">
      <c r="B12">
        <v>10</v>
      </c>
      <c r="C12" t="s">
        <v>140</v>
      </c>
      <c r="D12" t="s">
        <v>141</v>
      </c>
      <c r="E12" s="41">
        <v>500</v>
      </c>
      <c r="F12" s="41">
        <v>600.6</v>
      </c>
      <c r="G12" t="s">
        <v>122</v>
      </c>
      <c r="H12" t="s">
        <v>123</v>
      </c>
      <c r="I12" s="77">
        <f t="shared" si="0"/>
        <v>4504500</v>
      </c>
    </row>
    <row r="13" spans="2:10" x14ac:dyDescent="0.2">
      <c r="B13">
        <v>11</v>
      </c>
      <c r="C13" t="s">
        <v>142</v>
      </c>
      <c r="D13" t="s">
        <v>143</v>
      </c>
      <c r="E13" s="41">
        <v>400</v>
      </c>
      <c r="F13" s="41">
        <v>528</v>
      </c>
      <c r="G13" t="s">
        <v>122</v>
      </c>
      <c r="H13" t="s">
        <v>123</v>
      </c>
      <c r="I13" s="77">
        <f t="shared" si="0"/>
        <v>3960000</v>
      </c>
    </row>
    <row r="14" spans="2:10" s="78" customFormat="1" x14ac:dyDescent="0.2">
      <c r="B14" s="78">
        <v>12</v>
      </c>
      <c r="C14" s="78" t="s">
        <v>144</v>
      </c>
      <c r="D14" s="78" t="s">
        <v>139</v>
      </c>
      <c r="E14" s="79">
        <v>500</v>
      </c>
      <c r="F14" s="79">
        <v>615</v>
      </c>
      <c r="G14" s="78" t="s">
        <v>145</v>
      </c>
      <c r="H14" s="78" t="s">
        <v>123</v>
      </c>
      <c r="I14" s="151">
        <f>F14*100000</f>
        <v>61500000</v>
      </c>
    </row>
    <row r="15" spans="2:10" s="78" customFormat="1" x14ac:dyDescent="0.2">
      <c r="B15" s="78">
        <v>13</v>
      </c>
      <c r="C15" s="78" t="s">
        <v>146</v>
      </c>
      <c r="D15" s="78" t="s">
        <v>147</v>
      </c>
      <c r="E15" s="79">
        <v>5</v>
      </c>
      <c r="F15" s="79">
        <v>5</v>
      </c>
      <c r="G15" s="78" t="s">
        <v>145</v>
      </c>
      <c r="H15" s="78" t="s">
        <v>123</v>
      </c>
      <c r="I15" s="151">
        <f t="shared" ref="I15:I18" si="1">F15*100000</f>
        <v>500000</v>
      </c>
    </row>
    <row r="16" spans="2:10" s="78" customFormat="1" x14ac:dyDescent="0.2">
      <c r="B16" s="78">
        <v>14</v>
      </c>
      <c r="C16" s="78" t="s">
        <v>148</v>
      </c>
      <c r="D16" s="78" t="s">
        <v>139</v>
      </c>
      <c r="E16" s="79">
        <v>350</v>
      </c>
      <c r="F16" s="79">
        <v>478.38</v>
      </c>
      <c r="G16" s="78" t="s">
        <v>145</v>
      </c>
      <c r="H16" s="78" t="s">
        <v>123</v>
      </c>
      <c r="I16" s="151">
        <f t="shared" si="1"/>
        <v>47838000</v>
      </c>
    </row>
    <row r="17" spans="2:9" s="78" customFormat="1" x14ac:dyDescent="0.2">
      <c r="B17" s="78">
        <v>15</v>
      </c>
      <c r="C17" s="78" t="s">
        <v>149</v>
      </c>
      <c r="D17" s="78" t="s">
        <v>127</v>
      </c>
      <c r="E17" s="79">
        <v>350</v>
      </c>
      <c r="F17" s="79">
        <v>478.38</v>
      </c>
      <c r="G17" s="78" t="s">
        <v>145</v>
      </c>
      <c r="H17" s="78" t="s">
        <v>123</v>
      </c>
      <c r="I17" s="151">
        <f t="shared" si="1"/>
        <v>47838000</v>
      </c>
    </row>
    <row r="18" spans="2:9" s="78" customFormat="1" x14ac:dyDescent="0.2">
      <c r="B18" s="78">
        <v>16</v>
      </c>
      <c r="C18" s="78" t="s">
        <v>150</v>
      </c>
      <c r="D18" s="78" t="s">
        <v>127</v>
      </c>
      <c r="E18" s="79">
        <v>350</v>
      </c>
      <c r="F18" s="79">
        <v>422</v>
      </c>
      <c r="G18" s="78" t="s">
        <v>145</v>
      </c>
      <c r="H18" s="78" t="s">
        <v>123</v>
      </c>
      <c r="I18" s="151">
        <f t="shared" si="1"/>
        <v>42200000</v>
      </c>
    </row>
    <row r="19" spans="2:9" x14ac:dyDescent="0.2">
      <c r="B19">
        <v>17</v>
      </c>
      <c r="C19" t="s">
        <v>151</v>
      </c>
      <c r="D19" t="s">
        <v>139</v>
      </c>
      <c r="E19" s="41">
        <v>500</v>
      </c>
      <c r="F19" s="41">
        <v>670</v>
      </c>
      <c r="G19" t="s">
        <v>122</v>
      </c>
      <c r="H19" t="s">
        <v>123</v>
      </c>
      <c r="I19" s="77">
        <f>F19*5*1500</f>
        <v>5025000</v>
      </c>
    </row>
    <row r="20" spans="2:9" x14ac:dyDescent="0.2">
      <c r="B20">
        <v>18</v>
      </c>
      <c r="C20" t="s">
        <v>152</v>
      </c>
      <c r="D20" t="s">
        <v>147</v>
      </c>
      <c r="E20" s="41">
        <v>50</v>
      </c>
      <c r="F20" s="41">
        <v>57</v>
      </c>
      <c r="G20" t="s">
        <v>122</v>
      </c>
      <c r="H20" t="s">
        <v>123</v>
      </c>
      <c r="I20" s="77">
        <f t="shared" ref="I20:I22" si="2">F20*8*1500</f>
        <v>684000</v>
      </c>
    </row>
    <row r="21" spans="2:9" x14ac:dyDescent="0.2">
      <c r="B21">
        <v>19</v>
      </c>
      <c r="C21" t="s">
        <v>153</v>
      </c>
      <c r="D21" t="s">
        <v>143</v>
      </c>
      <c r="E21" s="41">
        <v>150</v>
      </c>
      <c r="F21" s="41">
        <v>197</v>
      </c>
      <c r="G21" t="s">
        <v>122</v>
      </c>
      <c r="H21" t="s">
        <v>123</v>
      </c>
      <c r="I21" s="77">
        <f t="shared" si="2"/>
        <v>2364000</v>
      </c>
    </row>
    <row r="22" spans="2:9" x14ac:dyDescent="0.2">
      <c r="B22">
        <v>20</v>
      </c>
      <c r="C22" t="s">
        <v>154</v>
      </c>
      <c r="D22" t="s">
        <v>127</v>
      </c>
      <c r="E22" s="41">
        <v>300</v>
      </c>
      <c r="F22" s="41">
        <v>401</v>
      </c>
      <c r="G22" t="s">
        <v>122</v>
      </c>
      <c r="H22" t="s">
        <v>123</v>
      </c>
      <c r="I22" s="77">
        <f t="shared" si="2"/>
        <v>4812000</v>
      </c>
    </row>
    <row r="23" spans="2:9" s="78" customFormat="1" x14ac:dyDescent="0.2">
      <c r="B23" s="78">
        <v>21</v>
      </c>
      <c r="C23" s="78" t="s">
        <v>155</v>
      </c>
      <c r="D23" s="78" t="s">
        <v>127</v>
      </c>
      <c r="E23" s="79">
        <v>125</v>
      </c>
      <c r="F23" s="79">
        <v>156</v>
      </c>
      <c r="G23" s="78" t="s">
        <v>145</v>
      </c>
      <c r="H23" s="78" t="s">
        <v>123</v>
      </c>
      <c r="I23" s="151">
        <f t="shared" ref="I23" si="3">F23*100000</f>
        <v>15600000</v>
      </c>
    </row>
    <row r="24" spans="2:9" s="42" customFormat="1" x14ac:dyDescent="0.2">
      <c r="E24" s="43">
        <f>SUM(E3:E23)</f>
        <v>7530</v>
      </c>
      <c r="F24" s="43">
        <f>SUM(F3:F23)</f>
        <v>9206.84</v>
      </c>
      <c r="I24" s="82">
        <f>SUM(I3:I23)</f>
        <v>271314100</v>
      </c>
    </row>
    <row r="25" spans="2:9" s="42" customFormat="1" x14ac:dyDescent="0.2">
      <c r="E25" s="43"/>
      <c r="F25" s="43"/>
      <c r="I25" s="82"/>
    </row>
    <row r="26" spans="2:9" s="42" customFormat="1" x14ac:dyDescent="0.2">
      <c r="E26" s="43"/>
      <c r="F26" s="43"/>
    </row>
    <row r="27" spans="2:9" x14ac:dyDescent="0.2">
      <c r="B27">
        <v>22</v>
      </c>
      <c r="C27" t="s">
        <v>156</v>
      </c>
      <c r="D27" t="s">
        <v>139</v>
      </c>
      <c r="E27" s="41">
        <v>250</v>
      </c>
      <c r="F27" s="41">
        <v>330</v>
      </c>
      <c r="G27" t="s">
        <v>145</v>
      </c>
      <c r="H27" t="s">
        <v>157</v>
      </c>
    </row>
    <row r="28" spans="2:9" x14ac:dyDescent="0.2">
      <c r="B28">
        <v>23</v>
      </c>
      <c r="C28" t="s">
        <v>158</v>
      </c>
      <c r="D28" t="s">
        <v>159</v>
      </c>
      <c r="E28" s="41">
        <v>20</v>
      </c>
      <c r="F28" s="41">
        <v>27</v>
      </c>
      <c r="G28" t="s">
        <v>160</v>
      </c>
      <c r="H28" t="s">
        <v>161</v>
      </c>
    </row>
    <row r="29" spans="2:9" x14ac:dyDescent="0.2">
      <c r="B29">
        <v>24</v>
      </c>
      <c r="C29" t="s">
        <v>162</v>
      </c>
      <c r="D29" t="s">
        <v>163</v>
      </c>
      <c r="E29" s="41">
        <v>5</v>
      </c>
      <c r="F29" s="41">
        <v>5</v>
      </c>
      <c r="G29" t="s">
        <v>160</v>
      </c>
      <c r="H29" t="s">
        <v>161</v>
      </c>
    </row>
    <row r="30" spans="2:9" x14ac:dyDescent="0.2">
      <c r="B30">
        <v>25</v>
      </c>
      <c r="C30" t="s">
        <v>164</v>
      </c>
      <c r="D30" t="s">
        <v>127</v>
      </c>
      <c r="E30" s="41">
        <v>50</v>
      </c>
      <c r="F30" s="41">
        <v>56</v>
      </c>
      <c r="G30" t="s">
        <v>145</v>
      </c>
      <c r="H30" t="s">
        <v>161</v>
      </c>
    </row>
    <row r="31" spans="2:9" x14ac:dyDescent="0.2">
      <c r="B31">
        <v>26</v>
      </c>
      <c r="C31" t="s">
        <v>164</v>
      </c>
      <c r="D31" t="s">
        <v>127</v>
      </c>
      <c r="E31" s="41">
        <v>200</v>
      </c>
      <c r="F31" s="41">
        <v>250</v>
      </c>
      <c r="G31" t="s">
        <v>145</v>
      </c>
      <c r="H31" t="s">
        <v>161</v>
      </c>
    </row>
    <row r="32" spans="2:9" x14ac:dyDescent="0.2">
      <c r="B32">
        <v>27</v>
      </c>
      <c r="C32" t="s">
        <v>164</v>
      </c>
      <c r="D32" t="s">
        <v>139</v>
      </c>
      <c r="E32" s="41">
        <v>250</v>
      </c>
      <c r="F32" s="41">
        <v>310</v>
      </c>
      <c r="G32" t="s">
        <v>122</v>
      </c>
      <c r="H32" t="s">
        <v>161</v>
      </c>
    </row>
    <row r="33" spans="2:8" x14ac:dyDescent="0.2">
      <c r="B33">
        <v>28</v>
      </c>
      <c r="C33" t="s">
        <v>164</v>
      </c>
      <c r="D33" t="s">
        <v>137</v>
      </c>
      <c r="E33" s="41">
        <v>400</v>
      </c>
      <c r="F33" s="41">
        <v>500</v>
      </c>
      <c r="G33" t="s">
        <v>122</v>
      </c>
      <c r="H33" t="s">
        <v>161</v>
      </c>
    </row>
    <row r="34" spans="2:8" x14ac:dyDescent="0.2">
      <c r="B34">
        <v>29</v>
      </c>
      <c r="C34" t="s">
        <v>164</v>
      </c>
      <c r="D34" t="s">
        <v>137</v>
      </c>
      <c r="E34" s="41">
        <v>300</v>
      </c>
      <c r="F34" s="41">
        <v>500</v>
      </c>
      <c r="G34" t="s">
        <v>122</v>
      </c>
      <c r="H34" t="s">
        <v>161</v>
      </c>
    </row>
    <row r="35" spans="2:8" x14ac:dyDescent="0.2">
      <c r="B35">
        <v>30</v>
      </c>
      <c r="C35" t="s">
        <v>164</v>
      </c>
      <c r="D35" t="s">
        <v>127</v>
      </c>
      <c r="E35" s="41">
        <v>125</v>
      </c>
      <c r="F35" s="41">
        <v>156</v>
      </c>
      <c r="G35" t="s">
        <v>145</v>
      </c>
      <c r="H35" t="s">
        <v>161</v>
      </c>
    </row>
    <row r="36" spans="2:8" x14ac:dyDescent="0.2">
      <c r="B36">
        <v>31</v>
      </c>
      <c r="C36" t="s">
        <v>164</v>
      </c>
      <c r="D36" t="s">
        <v>127</v>
      </c>
      <c r="E36" s="41">
        <v>400</v>
      </c>
      <c r="F36" s="41">
        <v>500</v>
      </c>
      <c r="G36" t="s">
        <v>145</v>
      </c>
      <c r="H36" t="s">
        <v>161</v>
      </c>
    </row>
    <row r="37" spans="2:8" x14ac:dyDescent="0.2">
      <c r="B37">
        <v>32</v>
      </c>
      <c r="C37" t="s">
        <v>164</v>
      </c>
      <c r="D37" t="s">
        <v>165</v>
      </c>
      <c r="E37" s="41">
        <v>125</v>
      </c>
      <c r="F37" s="41">
        <v>156</v>
      </c>
      <c r="G37" t="s">
        <v>122</v>
      </c>
      <c r="H37" t="s">
        <v>166</v>
      </c>
    </row>
    <row r="38" spans="2:8" x14ac:dyDescent="0.2">
      <c r="B38">
        <v>33</v>
      </c>
      <c r="C38" t="s">
        <v>164</v>
      </c>
      <c r="D38" t="s">
        <v>159</v>
      </c>
      <c r="E38" s="41">
        <v>3</v>
      </c>
      <c r="F38" s="41">
        <v>4.25</v>
      </c>
      <c r="G38" t="s">
        <v>160</v>
      </c>
      <c r="H38" t="s">
        <v>166</v>
      </c>
    </row>
    <row r="39" spans="2:8" x14ac:dyDescent="0.2">
      <c r="B39">
        <v>34</v>
      </c>
      <c r="C39" t="s">
        <v>164</v>
      </c>
      <c r="D39" t="s">
        <v>159</v>
      </c>
      <c r="E39" s="41">
        <v>60</v>
      </c>
      <c r="F39" s="41">
        <v>67</v>
      </c>
      <c r="G39" t="s">
        <v>160</v>
      </c>
      <c r="H39" t="s">
        <v>166</v>
      </c>
    </row>
    <row r="40" spans="2:8" x14ac:dyDescent="0.2">
      <c r="B40">
        <v>35</v>
      </c>
      <c r="C40" t="s">
        <v>164</v>
      </c>
      <c r="D40" t="s">
        <v>159</v>
      </c>
      <c r="E40" s="41">
        <v>5</v>
      </c>
      <c r="F40" s="41">
        <v>6.5</v>
      </c>
      <c r="G40" t="s">
        <v>160</v>
      </c>
      <c r="H40" t="s">
        <v>166</v>
      </c>
    </row>
    <row r="41" spans="2:8" x14ac:dyDescent="0.2">
      <c r="B41">
        <v>36</v>
      </c>
      <c r="C41" t="s">
        <v>164</v>
      </c>
      <c r="D41" t="s">
        <v>159</v>
      </c>
      <c r="E41" s="41">
        <v>50</v>
      </c>
      <c r="F41" s="41">
        <v>55</v>
      </c>
      <c r="G41" t="s">
        <v>160</v>
      </c>
      <c r="H41" t="s">
        <v>166</v>
      </c>
    </row>
    <row r="42" spans="2:8" x14ac:dyDescent="0.2">
      <c r="B42">
        <v>37</v>
      </c>
      <c r="C42" t="s">
        <v>164</v>
      </c>
      <c r="D42" t="s">
        <v>159</v>
      </c>
      <c r="E42" s="41">
        <v>25</v>
      </c>
      <c r="F42" s="41">
        <v>30</v>
      </c>
      <c r="G42" t="s">
        <v>160</v>
      </c>
      <c r="H42" t="s">
        <v>166</v>
      </c>
    </row>
    <row r="43" spans="2:8" x14ac:dyDescent="0.2">
      <c r="B43">
        <v>38</v>
      </c>
      <c r="C43" t="s">
        <v>164</v>
      </c>
      <c r="D43" t="s">
        <v>147</v>
      </c>
      <c r="E43" s="41">
        <v>15</v>
      </c>
      <c r="F43" s="41">
        <v>18</v>
      </c>
      <c r="G43" t="s">
        <v>160</v>
      </c>
      <c r="H43" t="s">
        <v>166</v>
      </c>
    </row>
    <row r="44" spans="2:8" x14ac:dyDescent="0.2">
      <c r="B44">
        <v>39</v>
      </c>
      <c r="C44" t="s">
        <v>164</v>
      </c>
      <c r="D44" t="s">
        <v>165</v>
      </c>
      <c r="E44" s="41">
        <v>400</v>
      </c>
      <c r="F44" s="41">
        <v>500</v>
      </c>
      <c r="G44" t="s">
        <v>122</v>
      </c>
      <c r="H44" t="s">
        <v>166</v>
      </c>
    </row>
    <row r="45" spans="2:8" x14ac:dyDescent="0.2">
      <c r="B45">
        <v>40</v>
      </c>
      <c r="C45" t="s">
        <v>164</v>
      </c>
      <c r="D45" t="s">
        <v>147</v>
      </c>
      <c r="E45" s="41">
        <v>5</v>
      </c>
      <c r="F45" s="41">
        <v>6</v>
      </c>
      <c r="G45" t="s">
        <v>160</v>
      </c>
      <c r="H45" t="s">
        <v>166</v>
      </c>
    </row>
    <row r="46" spans="2:8" x14ac:dyDescent="0.2">
      <c r="B46">
        <v>41</v>
      </c>
      <c r="C46" t="s">
        <v>164</v>
      </c>
      <c r="D46" t="s">
        <v>127</v>
      </c>
      <c r="E46" s="41">
        <v>250</v>
      </c>
      <c r="F46" s="41">
        <v>321.60000000000002</v>
      </c>
      <c r="G46" t="s">
        <v>145</v>
      </c>
      <c r="H46" t="s">
        <v>166</v>
      </c>
    </row>
    <row r="47" spans="2:8" x14ac:dyDescent="0.2">
      <c r="B47">
        <v>42</v>
      </c>
      <c r="C47" t="s">
        <v>164</v>
      </c>
      <c r="D47" t="s">
        <v>167</v>
      </c>
      <c r="E47" s="41">
        <v>300</v>
      </c>
      <c r="F47" s="41">
        <v>350</v>
      </c>
      <c r="G47" t="s">
        <v>122</v>
      </c>
      <c r="H47" t="s">
        <v>166</v>
      </c>
    </row>
    <row r="48" spans="2:8" x14ac:dyDescent="0.2">
      <c r="B48">
        <v>43</v>
      </c>
      <c r="C48" t="s">
        <v>164</v>
      </c>
      <c r="D48" t="s">
        <v>168</v>
      </c>
      <c r="E48" s="41">
        <v>300</v>
      </c>
      <c r="F48" s="41">
        <v>360</v>
      </c>
      <c r="G48" t="s">
        <v>122</v>
      </c>
      <c r="H48" t="s">
        <v>166</v>
      </c>
    </row>
    <row r="49" spans="2:8" x14ac:dyDescent="0.2">
      <c r="B49">
        <v>44</v>
      </c>
      <c r="C49" t="s">
        <v>164</v>
      </c>
      <c r="D49" t="s">
        <v>169</v>
      </c>
      <c r="E49" s="41">
        <v>150</v>
      </c>
      <c r="F49" s="41">
        <v>200</v>
      </c>
      <c r="G49" t="s">
        <v>145</v>
      </c>
      <c r="H49" t="s">
        <v>166</v>
      </c>
    </row>
    <row r="50" spans="2:8" x14ac:dyDescent="0.2">
      <c r="B50">
        <v>45</v>
      </c>
      <c r="C50" t="s">
        <v>164</v>
      </c>
      <c r="D50" t="s">
        <v>135</v>
      </c>
      <c r="E50" s="41">
        <v>500</v>
      </c>
      <c r="F50" s="41">
        <v>670</v>
      </c>
      <c r="G50" t="s">
        <v>145</v>
      </c>
      <c r="H50" t="s">
        <v>166</v>
      </c>
    </row>
    <row r="51" spans="2:8" x14ac:dyDescent="0.2">
      <c r="B51">
        <v>46</v>
      </c>
      <c r="C51" t="s">
        <v>164</v>
      </c>
      <c r="D51" t="s">
        <v>135</v>
      </c>
      <c r="E51" s="41">
        <v>500</v>
      </c>
      <c r="F51" s="41">
        <v>670</v>
      </c>
      <c r="G51" t="s">
        <v>145</v>
      </c>
      <c r="H51" t="s">
        <v>166</v>
      </c>
    </row>
    <row r="52" spans="2:8" x14ac:dyDescent="0.2">
      <c r="B52">
        <v>47</v>
      </c>
      <c r="C52" t="s">
        <v>164</v>
      </c>
      <c r="D52" t="s">
        <v>159</v>
      </c>
      <c r="E52" s="41">
        <v>100</v>
      </c>
      <c r="F52" s="41">
        <v>130</v>
      </c>
      <c r="G52" t="s">
        <v>145</v>
      </c>
      <c r="H52" t="s">
        <v>166</v>
      </c>
    </row>
    <row r="53" spans="2:8" x14ac:dyDescent="0.2">
      <c r="B53">
        <v>48</v>
      </c>
      <c r="C53" t="s">
        <v>164</v>
      </c>
      <c r="D53" t="s">
        <v>129</v>
      </c>
      <c r="E53" s="41">
        <v>500</v>
      </c>
      <c r="F53" s="41">
        <v>634</v>
      </c>
      <c r="G53" t="s">
        <v>145</v>
      </c>
      <c r="H53" t="s">
        <v>166</v>
      </c>
    </row>
    <row r="54" spans="2:8" x14ac:dyDescent="0.2">
      <c r="B54">
        <v>49</v>
      </c>
      <c r="C54" t="s">
        <v>164</v>
      </c>
      <c r="D54" t="s">
        <v>165</v>
      </c>
      <c r="E54" s="41">
        <v>400</v>
      </c>
      <c r="F54" s="41">
        <v>500</v>
      </c>
      <c r="G54" t="s">
        <v>122</v>
      </c>
      <c r="H54" t="s">
        <v>166</v>
      </c>
    </row>
    <row r="55" spans="2:8" x14ac:dyDescent="0.2">
      <c r="B55">
        <v>50</v>
      </c>
      <c r="C55" t="s">
        <v>164</v>
      </c>
      <c r="D55" t="s">
        <v>170</v>
      </c>
      <c r="E55" s="41">
        <v>300</v>
      </c>
      <c r="F55" s="41">
        <v>360</v>
      </c>
      <c r="G55" t="s">
        <v>122</v>
      </c>
      <c r="H55" t="s">
        <v>166</v>
      </c>
    </row>
    <row r="56" spans="2:8" x14ac:dyDescent="0.2">
      <c r="B56">
        <v>51</v>
      </c>
      <c r="C56" t="s">
        <v>164</v>
      </c>
      <c r="D56" t="s">
        <v>170</v>
      </c>
      <c r="E56" s="41">
        <v>400</v>
      </c>
      <c r="F56" s="41">
        <v>480</v>
      </c>
      <c r="G56" t="s">
        <v>122</v>
      </c>
      <c r="H56" t="s">
        <v>166</v>
      </c>
    </row>
    <row r="57" spans="2:8" x14ac:dyDescent="0.2">
      <c r="B57">
        <v>52</v>
      </c>
      <c r="C57" t="s">
        <v>164</v>
      </c>
      <c r="D57" t="s">
        <v>169</v>
      </c>
      <c r="E57" s="41">
        <v>100</v>
      </c>
      <c r="F57" s="41">
        <v>130</v>
      </c>
      <c r="G57" t="s">
        <v>145</v>
      </c>
      <c r="H57" t="s">
        <v>166</v>
      </c>
    </row>
    <row r="58" spans="2:8" x14ac:dyDescent="0.2">
      <c r="B58">
        <v>53</v>
      </c>
      <c r="C58" t="s">
        <v>164</v>
      </c>
      <c r="D58" t="s">
        <v>121</v>
      </c>
      <c r="E58" s="41">
        <v>400</v>
      </c>
      <c r="F58" s="41">
        <v>530</v>
      </c>
      <c r="G58" t="s">
        <v>122</v>
      </c>
      <c r="H58" t="s">
        <v>166</v>
      </c>
    </row>
    <row r="59" spans="2:8" x14ac:dyDescent="0.2">
      <c r="B59">
        <v>54</v>
      </c>
      <c r="C59" t="s">
        <v>164</v>
      </c>
      <c r="D59" t="s">
        <v>127</v>
      </c>
      <c r="E59" s="41">
        <v>250</v>
      </c>
      <c r="F59" s="41">
        <v>300</v>
      </c>
      <c r="G59" t="s">
        <v>122</v>
      </c>
      <c r="H59" t="s">
        <v>166</v>
      </c>
    </row>
    <row r="60" spans="2:8" x14ac:dyDescent="0.2">
      <c r="B60">
        <v>55</v>
      </c>
      <c r="C60" t="s">
        <v>164</v>
      </c>
      <c r="D60" t="s">
        <v>171</v>
      </c>
      <c r="E60" s="41">
        <v>400</v>
      </c>
      <c r="F60" s="41">
        <v>500</v>
      </c>
      <c r="G60" t="s">
        <v>122</v>
      </c>
      <c r="H60" t="s">
        <v>166</v>
      </c>
    </row>
    <row r="61" spans="2:8" x14ac:dyDescent="0.2">
      <c r="B61">
        <v>56</v>
      </c>
      <c r="C61" t="s">
        <v>164</v>
      </c>
      <c r="D61" t="s">
        <v>139</v>
      </c>
      <c r="E61" s="41">
        <v>200</v>
      </c>
      <c r="F61" s="41">
        <v>250</v>
      </c>
      <c r="G61" t="s">
        <v>145</v>
      </c>
      <c r="H61" t="s">
        <v>166</v>
      </c>
    </row>
    <row r="62" spans="2:8" x14ac:dyDescent="0.2">
      <c r="B62">
        <v>57</v>
      </c>
      <c r="C62" t="s">
        <v>164</v>
      </c>
      <c r="D62" t="s">
        <v>165</v>
      </c>
      <c r="E62" s="41">
        <v>400</v>
      </c>
      <c r="F62" s="41">
        <v>500</v>
      </c>
      <c r="G62" t="s">
        <v>122</v>
      </c>
      <c r="H62" t="s">
        <v>166</v>
      </c>
    </row>
    <row r="63" spans="2:8" s="42" customFormat="1" x14ac:dyDescent="0.2">
      <c r="C63" s="42" t="s">
        <v>8</v>
      </c>
      <c r="E63" s="43">
        <f>SUM(E3:E62)</f>
        <v>23198</v>
      </c>
      <c r="F63" s="43">
        <f>SUM(F3:F62)</f>
        <v>28776.03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DFEB-2819-47B5-851E-29DB19E92A44}">
  <dimension ref="B2:G26"/>
  <sheetViews>
    <sheetView showGridLines="0" workbookViewId="0">
      <selection activeCell="F10" sqref="F10"/>
    </sheetView>
  </sheetViews>
  <sheetFormatPr baseColWidth="10" defaultColWidth="8.6640625" defaultRowHeight="12" x14ac:dyDescent="0.2"/>
  <cols>
    <col min="1" max="1" width="8.6640625" style="69"/>
    <col min="2" max="2" width="27.5" style="69" bestFit="1" customWidth="1"/>
    <col min="3" max="4" width="14.83203125" style="83" bestFit="1" customWidth="1"/>
    <col min="5" max="5" width="8.6640625" style="69"/>
    <col min="6" max="6" width="4.6640625" style="69" customWidth="1"/>
    <col min="7" max="7" width="78.33203125" style="69" customWidth="1"/>
    <col min="8" max="16384" width="8.6640625" style="69"/>
  </cols>
  <sheetData>
    <row r="2" spans="2:7" x14ac:dyDescent="0.2">
      <c r="B2" s="200" t="s">
        <v>248</v>
      </c>
      <c r="C2" s="200"/>
      <c r="D2" s="200"/>
    </row>
    <row r="3" spans="2:7" ht="39" x14ac:dyDescent="0.2">
      <c r="B3" s="200" t="s">
        <v>46</v>
      </c>
      <c r="C3" s="200"/>
      <c r="D3" s="200"/>
      <c r="G3" s="174" t="s">
        <v>320</v>
      </c>
    </row>
    <row r="5" spans="2:7" s="63" customFormat="1" x14ac:dyDescent="0.2">
      <c r="B5" s="165" t="s">
        <v>1</v>
      </c>
      <c r="C5" s="166" t="s">
        <v>5</v>
      </c>
      <c r="D5" s="166" t="s">
        <v>4</v>
      </c>
    </row>
    <row r="6" spans="2:7" x14ac:dyDescent="0.2">
      <c r="B6" s="167" t="s">
        <v>231</v>
      </c>
      <c r="C6" s="66">
        <v>259256915.80000001</v>
      </c>
      <c r="D6" s="66">
        <v>200747296.63</v>
      </c>
    </row>
    <row r="7" spans="2:7" x14ac:dyDescent="0.2">
      <c r="B7" s="167" t="s">
        <v>32</v>
      </c>
      <c r="C7" s="66">
        <v>15191585.98</v>
      </c>
      <c r="D7" s="66">
        <v>3801800</v>
      </c>
    </row>
    <row r="8" spans="2:7" s="63" customFormat="1" x14ac:dyDescent="0.2">
      <c r="B8" s="168" t="s">
        <v>247</v>
      </c>
      <c r="C8" s="65">
        <f>SUM(C6:C7)</f>
        <v>274448501.78000003</v>
      </c>
      <c r="D8" s="65">
        <f>SUM(D6:D7)</f>
        <v>204549096.63</v>
      </c>
    </row>
    <row r="9" spans="2:7" x14ac:dyDescent="0.2">
      <c r="B9" s="167" t="s">
        <v>232</v>
      </c>
      <c r="C9" s="66">
        <v>14158724.43</v>
      </c>
      <c r="D9" s="66">
        <v>9083533.2300000004</v>
      </c>
    </row>
    <row r="10" spans="2:7" s="63" customFormat="1" x14ac:dyDescent="0.2">
      <c r="B10" s="168" t="s">
        <v>238</v>
      </c>
      <c r="C10" s="65">
        <f>C8-C9</f>
        <v>260289777.35000002</v>
      </c>
      <c r="D10" s="65">
        <f>D8-D9</f>
        <v>195465563.40000001</v>
      </c>
    </row>
    <row r="11" spans="2:7" s="84" customFormat="1" x14ac:dyDescent="0.2">
      <c r="B11" s="169" t="s">
        <v>244</v>
      </c>
      <c r="C11" s="169">
        <f>C10/C6</f>
        <v>1.0039839305609761</v>
      </c>
      <c r="D11" s="169">
        <f>D10/D6</f>
        <v>0.97368964205911668</v>
      </c>
    </row>
    <row r="12" spans="2:7" x14ac:dyDescent="0.2">
      <c r="B12" s="167" t="s">
        <v>233</v>
      </c>
      <c r="C12" s="66">
        <v>11935023.58</v>
      </c>
      <c r="D12" s="66">
        <v>8519689</v>
      </c>
    </row>
    <row r="13" spans="2:7" x14ac:dyDescent="0.2">
      <c r="B13" s="167" t="s">
        <v>234</v>
      </c>
      <c r="C13" s="66">
        <v>9527824.9199999999</v>
      </c>
      <c r="D13" s="66">
        <v>10684249.57</v>
      </c>
    </row>
    <row r="14" spans="2:7" x14ac:dyDescent="0.2">
      <c r="B14" s="167" t="s">
        <v>235</v>
      </c>
      <c r="C14" s="66">
        <v>0</v>
      </c>
      <c r="D14" s="66">
        <v>4095660</v>
      </c>
    </row>
    <row r="15" spans="2:7" s="63" customFormat="1" x14ac:dyDescent="0.2">
      <c r="B15" s="168" t="s">
        <v>245</v>
      </c>
      <c r="C15" s="65">
        <f>C10-C12-C13-C14</f>
        <v>238826928.85000002</v>
      </c>
      <c r="D15" s="65">
        <f>D10-D12-D13-D14</f>
        <v>172165964.83000001</v>
      </c>
    </row>
    <row r="16" spans="2:7" s="170" customFormat="1" x14ac:dyDescent="0.2">
      <c r="B16" s="169" t="s">
        <v>13</v>
      </c>
      <c r="C16" s="169">
        <f>C15/C6</f>
        <v>0.92119790946768643</v>
      </c>
      <c r="D16" s="169">
        <f>D15/D6</f>
        <v>0.85762532158687743</v>
      </c>
    </row>
    <row r="17" spans="2:4" x14ac:dyDescent="0.2">
      <c r="B17" s="167" t="s">
        <v>237</v>
      </c>
      <c r="C17" s="66">
        <v>104774487.95999999</v>
      </c>
      <c r="D17" s="66">
        <v>79501976.859999999</v>
      </c>
    </row>
    <row r="18" spans="2:4" s="63" customFormat="1" x14ac:dyDescent="0.2">
      <c r="B18" s="168" t="s">
        <v>246</v>
      </c>
      <c r="C18" s="65">
        <f>C15-C17</f>
        <v>134052440.89000003</v>
      </c>
      <c r="D18" s="65">
        <f>D15-D17</f>
        <v>92663987.970000014</v>
      </c>
    </row>
    <row r="19" spans="2:4" s="171" customFormat="1" x14ac:dyDescent="0.2">
      <c r="B19" s="169" t="s">
        <v>239</v>
      </c>
      <c r="C19" s="169">
        <f>C18/C6</f>
        <v>0.51706408863327236</v>
      </c>
      <c r="D19" s="169">
        <f>D18/D6</f>
        <v>0.46159519717363984</v>
      </c>
    </row>
    <row r="20" spans="2:4" x14ac:dyDescent="0.2">
      <c r="B20" s="167" t="s">
        <v>236</v>
      </c>
      <c r="C20" s="66">
        <v>101114031.72</v>
      </c>
      <c r="D20" s="66">
        <v>110244234.84</v>
      </c>
    </row>
    <row r="21" spans="2:4" x14ac:dyDescent="0.2">
      <c r="B21" s="168" t="s">
        <v>242</v>
      </c>
      <c r="C21" s="65">
        <f>C18-C20</f>
        <v>32938409.170000032</v>
      </c>
      <c r="D21" s="65">
        <f>D18-D20</f>
        <v>-17580246.86999999</v>
      </c>
    </row>
    <row r="22" spans="2:4" s="171" customFormat="1" x14ac:dyDescent="0.2">
      <c r="B22" s="169" t="s">
        <v>243</v>
      </c>
      <c r="C22" s="169">
        <f>C21/C6</f>
        <v>0.12704929806157955</v>
      </c>
      <c r="D22" s="169">
        <f>D21/D6</f>
        <v>-8.7574015516644177E-2</v>
      </c>
    </row>
    <row r="23" spans="2:4" x14ac:dyDescent="0.2">
      <c r="B23" s="167" t="s">
        <v>240</v>
      </c>
      <c r="C23" s="66">
        <v>639580.76</v>
      </c>
      <c r="D23" s="66"/>
    </row>
    <row r="24" spans="2:4" x14ac:dyDescent="0.2">
      <c r="B24" s="167" t="s">
        <v>241</v>
      </c>
      <c r="C24" s="66">
        <v>319790.38</v>
      </c>
      <c r="D24" s="66"/>
    </row>
    <row r="25" spans="2:4" s="63" customFormat="1" x14ac:dyDescent="0.2">
      <c r="B25" s="168" t="s">
        <v>242</v>
      </c>
      <c r="C25" s="65">
        <f>C21-C23-C24</f>
        <v>31979038.030000031</v>
      </c>
      <c r="D25" s="65">
        <f>D21-D23-D24</f>
        <v>-17580246.86999999</v>
      </c>
    </row>
    <row r="26" spans="2:4" s="173" customFormat="1" x14ac:dyDescent="0.2">
      <c r="B26" s="172" t="s">
        <v>243</v>
      </c>
      <c r="C26" s="169">
        <f>C25/C6</f>
        <v>0.12334883307286505</v>
      </c>
      <c r="D26" s="169">
        <f>D25/D6</f>
        <v>-8.7574015516644177E-2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Weighted Value</vt:lpstr>
      <vt:lpstr>DCF Value</vt:lpstr>
      <vt:lpstr>Historical SOPL</vt:lpstr>
      <vt:lpstr>Historical SOFP</vt:lpstr>
      <vt:lpstr>Projections</vt:lpstr>
      <vt:lpstr>Projected FS</vt:lpstr>
      <vt:lpstr>OPEX &amp; CAPEX</vt:lpstr>
      <vt:lpstr>Queries</vt:lpstr>
      <vt:lpstr>Ratios</vt:lpstr>
      <vt:lpstr>Projects status summary</vt:lpstr>
      <vt:lpstr>Pure Energy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Khatri</dc:creator>
  <cp:lastModifiedBy>Pudasaini, Lomus</cp:lastModifiedBy>
  <dcterms:created xsi:type="dcterms:W3CDTF">2025-07-27T10:28:16Z</dcterms:created>
  <dcterms:modified xsi:type="dcterms:W3CDTF">2026-01-22T04:34:57Z</dcterms:modified>
</cp:coreProperties>
</file>