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E:\Work\tweaking\financial-statement-extraction\public\files\"/>
    </mc:Choice>
  </mc:AlternateContent>
  <xr:revisionPtr revIDLastSave="0" documentId="13_ncr:1_{E118C442-D5F9-4FBF-BA48-D2F11A77479B}" xr6:coauthVersionLast="47" xr6:coauthVersionMax="47" xr10:uidLastSave="{00000000-0000-0000-0000-000000000000}"/>
  <bookViews>
    <workbookView xWindow="0" yWindow="0" windowWidth="28800" windowHeight="15480" xr2:uid="{00000000-000D-0000-FFFF-FFFF00000000}"/>
  </bookViews>
  <sheets>
    <sheet name="Balance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1" l="1"/>
  <c r="L14" i="1"/>
  <c r="J15" i="1"/>
  <c r="I15" i="1"/>
  <c r="J14" i="1"/>
  <c r="I14" i="1"/>
</calcChain>
</file>

<file path=xl/sharedStrings.xml><?xml version="1.0" encoding="utf-8"?>
<sst xmlns="http://schemas.openxmlformats.org/spreadsheetml/2006/main" count="51" uniqueCount="41">
  <si>
    <t>Particulars</t>
  </si>
  <si>
    <t>Notes</t>
  </si>
  <si>
    <t>32nd Ashadh 2082</t>
  </si>
  <si>
    <t>31st Ashadh 2081</t>
  </si>
  <si>
    <t>Assets</t>
  </si>
  <si>
    <t>Non-Current Assets</t>
  </si>
  <si>
    <t>Property, Plant and Equipment</t>
  </si>
  <si>
    <t>Asset Under Development (CWIP)</t>
  </si>
  <si>
    <t>Financial Assets</t>
  </si>
  <si>
    <t>Investment in Subsidiaries</t>
  </si>
  <si>
    <t>Other Financial Assets</t>
  </si>
  <si>
    <t>Current Assets</t>
  </si>
  <si>
    <t>Investments</t>
  </si>
  <si>
    <t>Cash and Cash Equivalents</t>
  </si>
  <si>
    <t>Current Tax Assets</t>
  </si>
  <si>
    <t>Other Current Assets</t>
  </si>
  <si>
    <t>Total Assets</t>
  </si>
  <si>
    <t>Equity and Liabilities</t>
  </si>
  <si>
    <t>Equity</t>
  </si>
  <si>
    <t>Share Capital</t>
  </si>
  <si>
    <t>Reserves</t>
  </si>
  <si>
    <t>Non Controlling Interest</t>
  </si>
  <si>
    <t>Total Equities</t>
  </si>
  <si>
    <t>Liabilities</t>
  </si>
  <si>
    <t>Non-Current Liabilities</t>
  </si>
  <si>
    <t>Long Term Provisions</t>
  </si>
  <si>
    <t>Deferred Tax Liabilities</t>
  </si>
  <si>
    <t>Current Liabilities</t>
  </si>
  <si>
    <t>Current Tax Liabilities</t>
  </si>
  <si>
    <t>Short Term Provision</t>
  </si>
  <si>
    <t>Other Financial Liabilities</t>
  </si>
  <si>
    <t>Total Liabilities</t>
  </si>
  <si>
    <t>Total Equity and Liabilities</t>
  </si>
  <si>
    <t>nova lite</t>
  </si>
  <si>
    <t>nova 2 lite</t>
  </si>
  <si>
    <t>model</t>
  </si>
  <si>
    <t>input</t>
  </si>
  <si>
    <t>output</t>
  </si>
  <si>
    <t>Text Extraction</t>
  </si>
  <si>
    <t>Json Conversion</t>
  </si>
  <si>
    <t xml:space="preserve">nova 2 lite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</si>
</sst>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000_);[Red]\(&quot;$&quot;#,##0.00000\)"/>
    <numFmt numFmtId="165" formatCode="&quot;$&quot;#,##0.000000_);[Red]\(&quot;$&quot;#,##0.000000\)"/>
    <numFmt numFmtId="168" formatCode="&quot;$&quot;#,##0.0000000_);[Red]\(&quot;$&quot;#,##0.0000000\)"/>
    <numFmt numFmtId="169" formatCode="&quot;$&quot;#,##0.00000000_);[Red]\(&quot;$&quot;#,##0.00000000\)"/>
  </numFmts>
  <fonts count="3" x14ac:knownFonts="1">
    <font>
      <sz val="12"/>
      <color theme="1"/>
      <name val="Calibri"/>
      <family val="2"/>
      <scheme val="minor"/>
    </font>
    <font>
      <sz val="11"/>
      <color rgb="FF0F141A"/>
      <name val="Arial"/>
      <family val="2"/>
    </font>
    <font>
      <sz val="11"/>
      <color rgb="FF1619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tabSelected="1" topLeftCell="C2" workbookViewId="0">
      <selection activeCell="N14" sqref="N14"/>
    </sheetView>
  </sheetViews>
  <sheetFormatPr defaultRowHeight="15.75" x14ac:dyDescent="0.25"/>
  <cols>
    <col min="1" max="1" width="28.625" bestFit="1" customWidth="1"/>
    <col min="2" max="2" width="5.625" bestFit="1" customWidth="1"/>
    <col min="3" max="3" width="16" bestFit="1" customWidth="1"/>
    <col min="4" max="4" width="15.5" bestFit="1" customWidth="1"/>
    <col min="9" max="10" width="14.125" bestFit="1" customWidth="1"/>
    <col min="12" max="12" width="17.25" bestFit="1" customWidth="1"/>
    <col min="13" max="13" width="5.875" bestFit="1" customWidth="1"/>
    <col min="14" max="14" width="6.125" bestFit="1" customWidth="1"/>
    <col min="18" max="18" width="12.25" bestFit="1" customWidth="1"/>
    <col min="19" max="19" width="12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</row>
    <row r="2" spans="1:19" x14ac:dyDescent="0.25">
      <c r="A2" t="s">
        <v>4</v>
      </c>
    </row>
    <row r="3" spans="1:19" x14ac:dyDescent="0.25">
      <c r="A3" t="s">
        <v>5</v>
      </c>
      <c r="Q3" t="s">
        <v>33</v>
      </c>
      <c r="R3" t="s">
        <v>36</v>
      </c>
      <c r="S3" t="s">
        <v>37</v>
      </c>
    </row>
    <row r="4" spans="1:19" x14ac:dyDescent="0.25">
      <c r="A4" t="s">
        <v>6</v>
      </c>
      <c r="B4">
        <v>4</v>
      </c>
      <c r="C4">
        <v>3980973</v>
      </c>
      <c r="D4">
        <v>6891427</v>
      </c>
      <c r="R4" s="2">
        <v>3.0000000000000001E-5</v>
      </c>
      <c r="S4" s="2">
        <v>1.2E-4</v>
      </c>
    </row>
    <row r="5" spans="1:19" x14ac:dyDescent="0.25">
      <c r="A5" t="s">
        <v>7</v>
      </c>
      <c r="B5">
        <v>5</v>
      </c>
      <c r="H5" t="s">
        <v>38</v>
      </c>
      <c r="L5" t="s">
        <v>39</v>
      </c>
    </row>
    <row r="6" spans="1:19" x14ac:dyDescent="0.25">
      <c r="A6" t="s">
        <v>8</v>
      </c>
    </row>
    <row r="7" spans="1:19" x14ac:dyDescent="0.25">
      <c r="A7" t="s">
        <v>9</v>
      </c>
      <c r="B7">
        <v>6</v>
      </c>
      <c r="C7">
        <v>95220000</v>
      </c>
      <c r="D7">
        <v>66011559</v>
      </c>
      <c r="H7" t="s">
        <v>35</v>
      </c>
      <c r="I7" t="s">
        <v>36</v>
      </c>
      <c r="J7" t="s">
        <v>37</v>
      </c>
    </row>
    <row r="8" spans="1:19" x14ac:dyDescent="0.25">
      <c r="A8" t="s">
        <v>10</v>
      </c>
      <c r="B8">
        <v>7</v>
      </c>
      <c r="H8" t="s">
        <v>33</v>
      </c>
      <c r="I8" s="1">
        <v>38595</v>
      </c>
      <c r="J8" s="1">
        <v>2283</v>
      </c>
      <c r="L8" t="s">
        <v>33</v>
      </c>
      <c r="M8" s="1">
        <v>3039</v>
      </c>
      <c r="N8" s="1">
        <v>1269</v>
      </c>
      <c r="Q8" t="s">
        <v>40</v>
      </c>
      <c r="R8" t="s">
        <v>36</v>
      </c>
      <c r="S8" t="s">
        <v>37</v>
      </c>
    </row>
    <row r="9" spans="1:19" x14ac:dyDescent="0.25">
      <c r="A9" t="s">
        <v>11</v>
      </c>
      <c r="R9" s="3">
        <v>1.65E-4</v>
      </c>
      <c r="S9" s="3">
        <v>1.3749999999999999E-3</v>
      </c>
    </row>
    <row r="10" spans="1:19" x14ac:dyDescent="0.25">
      <c r="A10" t="s">
        <v>8</v>
      </c>
      <c r="H10" t="s">
        <v>34</v>
      </c>
      <c r="I10" s="1">
        <v>59888</v>
      </c>
      <c r="J10">
        <v>3980</v>
      </c>
      <c r="L10" t="s">
        <v>34</v>
      </c>
      <c r="M10" s="1">
        <v>1899</v>
      </c>
      <c r="N10" s="1">
        <v>4740</v>
      </c>
    </row>
    <row r="11" spans="1:19" x14ac:dyDescent="0.25">
      <c r="A11" t="s">
        <v>12</v>
      </c>
      <c r="B11">
        <v>9</v>
      </c>
      <c r="C11">
        <v>164050000</v>
      </c>
      <c r="D11">
        <v>222650000</v>
      </c>
      <c r="M11" s="1"/>
    </row>
    <row r="12" spans="1:19" x14ac:dyDescent="0.25">
      <c r="A12" t="s">
        <v>13</v>
      </c>
      <c r="B12">
        <v>10</v>
      </c>
      <c r="C12">
        <v>161198847</v>
      </c>
      <c r="D12">
        <v>73237437</v>
      </c>
    </row>
    <row r="13" spans="1:19" x14ac:dyDescent="0.25">
      <c r="A13" t="s">
        <v>14</v>
      </c>
      <c r="B13">
        <v>11</v>
      </c>
      <c r="C13">
        <v>2186327</v>
      </c>
      <c r="D13">
        <v>2186327</v>
      </c>
    </row>
    <row r="14" spans="1:19" x14ac:dyDescent="0.25">
      <c r="A14" t="s">
        <v>15</v>
      </c>
      <c r="B14">
        <v>12</v>
      </c>
      <c r="C14">
        <v>74319315</v>
      </c>
      <c r="D14">
        <v>8299937</v>
      </c>
      <c r="H14" t="s">
        <v>33</v>
      </c>
      <c r="I14" s="5">
        <f>I8/1000*(R4)</f>
        <v>1.15785E-3</v>
      </c>
      <c r="J14" s="5">
        <f>J8/1000*(S4)</f>
        <v>2.7396000000000001E-4</v>
      </c>
      <c r="L14" s="5">
        <f>J14+I14</f>
        <v>1.4318099999999999E-3</v>
      </c>
    </row>
    <row r="15" spans="1:19" x14ac:dyDescent="0.25">
      <c r="A15" t="s">
        <v>16</v>
      </c>
      <c r="C15">
        <v>569244135</v>
      </c>
      <c r="D15">
        <v>394266687</v>
      </c>
      <c r="H15" t="s">
        <v>34</v>
      </c>
      <c r="I15" s="5">
        <f>I10/1000*(R9)</f>
        <v>9.8815199999999995E-3</v>
      </c>
      <c r="J15" s="4">
        <f>J10/1000*(S9)</f>
        <v>5.4724999999999999E-3</v>
      </c>
      <c r="L15" s="5">
        <f>J15+I15</f>
        <v>1.5354019999999999E-2</v>
      </c>
    </row>
    <row r="16" spans="1:19" x14ac:dyDescent="0.25">
      <c r="A16" t="s">
        <v>17</v>
      </c>
    </row>
    <row r="17" spans="1:4" x14ac:dyDescent="0.25">
      <c r="A17" t="s">
        <v>18</v>
      </c>
    </row>
    <row r="18" spans="1:4" x14ac:dyDescent="0.25">
      <c r="A18" t="s">
        <v>19</v>
      </c>
      <c r="B18">
        <v>13</v>
      </c>
      <c r="C18">
        <v>500000000</v>
      </c>
      <c r="D18">
        <v>362900000</v>
      </c>
    </row>
    <row r="19" spans="1:4" x14ac:dyDescent="0.25">
      <c r="A19" t="s">
        <v>20</v>
      </c>
      <c r="B19">
        <v>14</v>
      </c>
      <c r="C19">
        <v>51762693</v>
      </c>
      <c r="D19">
        <v>18510195</v>
      </c>
    </row>
    <row r="20" spans="1:4" x14ac:dyDescent="0.25">
      <c r="A20" t="s">
        <v>21</v>
      </c>
    </row>
    <row r="21" spans="1:4" x14ac:dyDescent="0.25">
      <c r="A21" t="s">
        <v>22</v>
      </c>
      <c r="C21">
        <v>551762693</v>
      </c>
      <c r="D21">
        <v>381410195</v>
      </c>
    </row>
    <row r="22" spans="1:4" x14ac:dyDescent="0.25">
      <c r="A22" t="s">
        <v>23</v>
      </c>
    </row>
    <row r="23" spans="1:4" x14ac:dyDescent="0.25">
      <c r="A23" t="s">
        <v>24</v>
      </c>
    </row>
    <row r="24" spans="1:4" x14ac:dyDescent="0.25">
      <c r="A24" t="s">
        <v>25</v>
      </c>
      <c r="B24">
        <v>15</v>
      </c>
      <c r="C24">
        <v>925842</v>
      </c>
      <c r="D24">
        <v>3005548</v>
      </c>
    </row>
    <row r="25" spans="1:4" x14ac:dyDescent="0.25">
      <c r="A25" t="s">
        <v>26</v>
      </c>
      <c r="B25">
        <v>8</v>
      </c>
      <c r="C25">
        <v>1640345</v>
      </c>
      <c r="D25">
        <v>1532597</v>
      </c>
    </row>
    <row r="26" spans="1:4" x14ac:dyDescent="0.25">
      <c r="A26" t="s">
        <v>27</v>
      </c>
    </row>
    <row r="27" spans="1:4" x14ac:dyDescent="0.25">
      <c r="A27" t="s">
        <v>28</v>
      </c>
      <c r="B27">
        <v>11</v>
      </c>
      <c r="C27">
        <v>763895</v>
      </c>
      <c r="D27">
        <v>2638104</v>
      </c>
    </row>
    <row r="28" spans="1:4" x14ac:dyDescent="0.25">
      <c r="A28" t="s">
        <v>29</v>
      </c>
      <c r="B28">
        <v>16</v>
      </c>
      <c r="C28">
        <v>2914348</v>
      </c>
      <c r="D28">
        <v>5680243</v>
      </c>
    </row>
    <row r="29" spans="1:4" x14ac:dyDescent="0.25">
      <c r="A29" t="s">
        <v>30</v>
      </c>
      <c r="B29">
        <v>17</v>
      </c>
      <c r="C29">
        <v>11237012</v>
      </c>
      <c r="D29">
        <v>5680243</v>
      </c>
    </row>
    <row r="30" spans="1:4" x14ac:dyDescent="0.25">
      <c r="A30" t="s">
        <v>31</v>
      </c>
      <c r="C30">
        <v>17481442</v>
      </c>
      <c r="D30">
        <v>12856493</v>
      </c>
    </row>
    <row r="31" spans="1:4" x14ac:dyDescent="0.25">
      <c r="A31" t="s">
        <v>32</v>
      </c>
      <c r="C31">
        <v>569244135</v>
      </c>
      <c r="D31">
        <v>394266687</v>
      </c>
    </row>
  </sheetData>
  <pageMargins left="0.7" right="0.7" top="0.75" bottom="0.75" header="0.3" footer="0.3"/>
  <ignoredErrors>
    <ignoredError sqref="A1:D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Prasiddha  Maharjan</cp:lastModifiedBy>
  <dcterms:modified xsi:type="dcterms:W3CDTF">2026-02-04T06:37:21Z</dcterms:modified>
</cp:coreProperties>
</file>